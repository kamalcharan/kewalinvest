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13_ncr:1_{686D3ECC-457F-4EF2-AC99-78E9D4A632C7}" xr6:coauthVersionLast="47" xr6:coauthVersionMax="47" xr10:uidLastSave="{00000000-0000-0000-0000-000000000000}"/>
  <bookViews>
    <workbookView xWindow="-108" yWindow="-108" windowWidth="23256" windowHeight="12456" xr2:uid="{2924DE55-90F7-4DB3-83C3-CE13F235401E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9" i="1" l="1"/>
  <c r="C200" i="1"/>
  <c r="C201" i="1"/>
  <c r="C202" i="1"/>
  <c r="C203" i="1"/>
  <c r="C205" i="1"/>
  <c r="C206" i="1"/>
  <c r="C207" i="1"/>
  <c r="C198" i="1"/>
  <c r="H44" i="2"/>
  <c r="H21" i="2"/>
  <c r="H85" i="2"/>
  <c r="H66" i="2"/>
  <c r="H30" i="2"/>
  <c r="H17" i="2"/>
  <c r="H83" i="2"/>
  <c r="H59" i="2"/>
  <c r="H65" i="2"/>
  <c r="H34" i="2"/>
  <c r="H26" i="2"/>
  <c r="H39" i="2"/>
  <c r="H52" i="2"/>
  <c r="H70" i="2"/>
  <c r="H56" i="2"/>
  <c r="H53" i="2"/>
  <c r="H55" i="2"/>
  <c r="H62" i="2"/>
  <c r="H73" i="2"/>
  <c r="H16" i="2"/>
  <c r="H63" i="2"/>
  <c r="H13" i="2"/>
  <c r="H12" i="2"/>
  <c r="H57" i="2"/>
  <c r="H15" i="2"/>
  <c r="H80" i="2"/>
  <c r="H79" i="2"/>
  <c r="H86" i="2"/>
  <c r="H71" i="2"/>
  <c r="H68" i="2"/>
  <c r="H54" i="2"/>
  <c r="H48" i="2"/>
  <c r="H74" i="2"/>
  <c r="H49" i="2"/>
  <c r="H41" i="2"/>
  <c r="H64" i="2"/>
  <c r="H58" i="2"/>
  <c r="H75" i="2"/>
  <c r="H28" i="2"/>
  <c r="H31" i="2"/>
  <c r="H29" i="2"/>
  <c r="H36" i="2"/>
  <c r="H72" i="2"/>
  <c r="H33" i="2"/>
  <c r="H42" i="2"/>
  <c r="H23" i="2"/>
  <c r="H40" i="2"/>
  <c r="H77" i="2"/>
  <c r="H25" i="2"/>
  <c r="H24" i="2"/>
  <c r="H19" i="2"/>
  <c r="H78" i="2"/>
  <c r="H47" i="2"/>
  <c r="H82" i="2"/>
  <c r="H67" i="2"/>
  <c r="H46" i="2"/>
  <c r="H84" i="2"/>
  <c r="H35" i="2"/>
  <c r="H22" i="2"/>
  <c r="H18" i="2"/>
  <c r="H51" i="2"/>
  <c r="H61" i="2"/>
  <c r="H20" i="2"/>
  <c r="H76" i="2"/>
  <c r="H50" i="2"/>
  <c r="H69" i="2"/>
  <c r="H37" i="2"/>
  <c r="H81" i="2"/>
  <c r="H38" i="2"/>
  <c r="H32" i="2"/>
  <c r="H27" i="2"/>
  <c r="H43" i="2"/>
  <c r="H60" i="2"/>
  <c r="H14" i="2"/>
  <c r="H45" i="2"/>
</calcChain>
</file>

<file path=xl/sharedStrings.xml><?xml version="1.0" encoding="utf-8"?>
<sst xmlns="http://schemas.openxmlformats.org/spreadsheetml/2006/main" count="495" uniqueCount="402">
  <si>
    <t>ISIN</t>
  </si>
  <si>
    <t>Fund</t>
  </si>
  <si>
    <t>INF579M01878</t>
  </si>
  <si>
    <t>360 One Focused Fund (G)</t>
  </si>
  <si>
    <t>INF209KC1159</t>
  </si>
  <si>
    <t>Aditya Birla SL Nifty India Defence Index Fund Reg (G)</t>
  </si>
  <si>
    <t>INF209K01256</t>
  </si>
  <si>
    <t>Axis Arbitrage Fund (G)</t>
  </si>
  <si>
    <t>INF846K010X6</t>
  </si>
  <si>
    <t>Axis Consumption Fund Reg (G)</t>
  </si>
  <si>
    <t>INF846K01917</t>
  </si>
  <si>
    <t>Axis Dynamic Bond Fund (G) Direct</t>
  </si>
  <si>
    <t>INF846K01131</t>
  </si>
  <si>
    <t>Axis ELSS Tax Saver Fund (G)</t>
  </si>
  <si>
    <t>INF846K01AL3</t>
  </si>
  <si>
    <t>Axis Gold Fund (G)</t>
  </si>
  <si>
    <t>INF846K01164</t>
  </si>
  <si>
    <t>Axis Large Cap Fund (G)</t>
  </si>
  <si>
    <t>INF846K01DP8</t>
  </si>
  <si>
    <t>Axis Large Cap Fund (G) Direct</t>
  </si>
  <si>
    <t>INF846K01CX4</t>
  </si>
  <si>
    <t>Axis Liquid Fund (G) Direct</t>
  </si>
  <si>
    <t>INF846K01859</t>
  </si>
  <si>
    <t>Axis Midcap Fund (G)</t>
  </si>
  <si>
    <t>INF846K01EH3</t>
  </si>
  <si>
    <t>Axis Midcap Fund (G) Direct</t>
  </si>
  <si>
    <t>INF846K01768</t>
  </si>
  <si>
    <t>Axis Multi Asset Allocation Fund Reg (G)</t>
  </si>
  <si>
    <t>INF846K013E0</t>
  </si>
  <si>
    <t>Axis Multi Cap Fund (G) Direct</t>
  </si>
  <si>
    <t>INF846K01O23</t>
  </si>
  <si>
    <t>Axis Overnight Fund (G)</t>
  </si>
  <si>
    <t>INF846K01K01</t>
  </si>
  <si>
    <t>Axis Small Cap Fund Reg (G)</t>
  </si>
  <si>
    <t>INF846K01537</t>
  </si>
  <si>
    <t>Axis Treasury Advantage Fund (G) Direct</t>
  </si>
  <si>
    <t>INF846K01G23</t>
  </si>
  <si>
    <t>Axis Ultra Short Duration Fund Reg (G)</t>
  </si>
  <si>
    <t>INF846K013C4</t>
  </si>
  <si>
    <t>Axis Value Fund Reg (G)</t>
  </si>
  <si>
    <t>INF194K01649</t>
  </si>
  <si>
    <t>Bandhan Arbitrage Fund Reg (G)</t>
  </si>
  <si>
    <t>INF194KB1IP8</t>
  </si>
  <si>
    <t>Bandhan Business Cycle Fund Reg (G)</t>
  </si>
  <si>
    <t>INF194K01VX9</t>
  </si>
  <si>
    <t>Bandhan Liquid Fund Reg (G)</t>
  </si>
  <si>
    <t>INF194KB1HJ3</t>
  </si>
  <si>
    <t>Bandhan Multi Asset Allocation Fund Reg (G)</t>
  </si>
  <si>
    <t>INF760K01241</t>
  </si>
  <si>
    <t>Canara Robeco Consumer Trends Fund Reg.plan (G)</t>
  </si>
  <si>
    <t>INF760K01050</t>
  </si>
  <si>
    <t>Canara Robeco Equity Hybrid Fund Reg (G)</t>
  </si>
  <si>
    <t>INF760K01JT0</t>
  </si>
  <si>
    <t>Canara Robeco Focused Fund Reg (G)</t>
  </si>
  <si>
    <t>INF760K01324</t>
  </si>
  <si>
    <t>Canara Robeco Income Fund Reg (G)</t>
  </si>
  <si>
    <t>INF760K01274</t>
  </si>
  <si>
    <t>Canara Robeco Infrastructure Fund Reg (G)</t>
  </si>
  <si>
    <t>INF760K01167</t>
  </si>
  <si>
    <t>Canara Robeco Large and Mid Cap Fund Reg (G)</t>
  </si>
  <si>
    <t>INF760K01KU6</t>
  </si>
  <si>
    <t>Canara Robeco Manufacturing Fund Reg (G)</t>
  </si>
  <si>
    <t>INF760K01BM2</t>
  </si>
  <si>
    <t>Canara Robeco Short Duration Fund Reg (G)</t>
  </si>
  <si>
    <t>INF760K01JF9</t>
  </si>
  <si>
    <t>Canara Robeco Small Cap Fund Reg (G)</t>
  </si>
  <si>
    <t>INF760K01DC9</t>
  </si>
  <si>
    <t>Canara Robeco Ultra Short Term Fund Reg.plan (G)</t>
  </si>
  <si>
    <t>INF740K01037</t>
  </si>
  <si>
    <t>DSP Flexi Cap Fund Reg (G)</t>
  </si>
  <si>
    <t>INF740K01060</t>
  </si>
  <si>
    <t>DSP Natural Resources &amp; New Energy Reg (G)</t>
  </si>
  <si>
    <t>INF754K01202</t>
  </si>
  <si>
    <t>Edelweiss Aggressive Hybrid Fund (G)</t>
  </si>
  <si>
    <t>INF754K01EF3</t>
  </si>
  <si>
    <t>Edelweiss Arbitrage Fund Reg (G)</t>
  </si>
  <si>
    <t>INF754K01UC6</t>
  </si>
  <si>
    <t>Edelweiss Consumption Fund (G)</t>
  </si>
  <si>
    <t>INF843K01KN5</t>
  </si>
  <si>
    <t>Edelweiss Flexi Cap Fund Reg (G)</t>
  </si>
  <si>
    <t>INF754K01OL0</t>
  </si>
  <si>
    <t>Edelweiss Focused Fund Reg (G)</t>
  </si>
  <si>
    <t>INF754K01GZ6</t>
  </si>
  <si>
    <t>Edelweiss Liquid Fund Reg (G)</t>
  </si>
  <si>
    <t>INF843K01013</t>
  </si>
  <si>
    <t>Edelweiss Mid Cap Fund Reg (G)</t>
  </si>
  <si>
    <t>INF843K01344</t>
  </si>
  <si>
    <t>Edelweiss Money Market Fund Reg (G)</t>
  </si>
  <si>
    <t>INF754K01RW0</t>
  </si>
  <si>
    <t>Edelweiss Multi Cap Fund Reg (G)</t>
  </si>
  <si>
    <t>INF754K01TJ3</t>
  </si>
  <si>
    <t>Edelweiss Nifty500 Multicap Momentum Quality 50 Index Fund Reg (G)</t>
  </si>
  <si>
    <t>INF754K01JJ4</t>
  </si>
  <si>
    <t>Edelweiss Small Cap Fund (G)</t>
  </si>
  <si>
    <t>INF754K01SG1</t>
  </si>
  <si>
    <t>Edelweiss Technology Fund Reg (G)</t>
  </si>
  <si>
    <t>Edelweiss US Technology Equity Fund of Fund (G) Direct</t>
  </si>
  <si>
    <t>INF090I01981</t>
  </si>
  <si>
    <t>Franklin India Focused Equity Fund (G)</t>
  </si>
  <si>
    <t>INF179K01CR2</t>
  </si>
  <si>
    <t>HDFC Mid Cap Fund (G)</t>
  </si>
  <si>
    <t>INF0R8701111</t>
  </si>
  <si>
    <t>Helios Balanced Advantage Fund Reg (G)</t>
  </si>
  <si>
    <t>INF0R8701178</t>
  </si>
  <si>
    <t>Helios Financial Services Fund Reg (G)</t>
  </si>
  <si>
    <t>INF0R8701012</t>
  </si>
  <si>
    <t>Helios Flexi Cap Fund Reg (G)</t>
  </si>
  <si>
    <t>INF0R8701236</t>
  </si>
  <si>
    <t>Helios Large &amp; Mid Cap Fund Reg (G)</t>
  </si>
  <si>
    <t>INF0R8701293</t>
  </si>
  <si>
    <t>Helios Mid Cap Fund Reg (G)</t>
  </si>
  <si>
    <t>INF0R8701095</t>
  </si>
  <si>
    <t>Helios Overnight Fund Reg (G)</t>
  </si>
  <si>
    <t>INF109K01GN9</t>
  </si>
  <si>
    <t>ICICI Pru All Seasons Bond Fund (G)</t>
  </si>
  <si>
    <t>INF109K01837</t>
  </si>
  <si>
    <t>ICICI Pru Asset Allocator Fund (FOF) (G)</t>
  </si>
  <si>
    <t>INF109K01BU5</t>
  </si>
  <si>
    <t>ICICI Pru Banking and Financial Services Fund Reg (G)</t>
  </si>
  <si>
    <t>INF109KC1YA0</t>
  </si>
  <si>
    <t>ICICI Pru Bharat Consumption Fund (G)</t>
  </si>
  <si>
    <t>INF109KC1O90</t>
  </si>
  <si>
    <t>ICICI Pru Business Cycle Fund Reg (G)</t>
  </si>
  <si>
    <t>INF109K01464</t>
  </si>
  <si>
    <t>ICICI Pru ELSS Tax Saver Fund Reg (G)</t>
  </si>
  <si>
    <t>INF109K01480</t>
  </si>
  <si>
    <t>ICICI Pru Equity &amp; Debt Fund (G)</t>
  </si>
  <si>
    <t>INF109KC1Q80</t>
  </si>
  <si>
    <t>ICICI Pru Flexicap Fund Reg (G)</t>
  </si>
  <si>
    <t>INF109K01AX1</t>
  </si>
  <si>
    <t>ICICI Pru Floating Interest Fund (G)</t>
  </si>
  <si>
    <t>INF109K01415</t>
  </si>
  <si>
    <t>ICICI Pru FMCG Fund (G)</t>
  </si>
  <si>
    <t>INF109K01BZ4</t>
  </si>
  <si>
    <t>ICICI Pru Focused Equity Fund Reg (G)</t>
  </si>
  <si>
    <t>INF109KC17B9</t>
  </si>
  <si>
    <t>ICICI Pru Housing Opp Fund (G)</t>
  </si>
  <si>
    <t>INF109KC1RE6</t>
  </si>
  <si>
    <t>ICICI Pru India Opportunities Fund (G)</t>
  </si>
  <si>
    <t>INF109KC1RH9</t>
  </si>
  <si>
    <t>ICICI Pru India Opportunities Fund (G) Direct</t>
  </si>
  <si>
    <t>INF109KC19S9</t>
  </si>
  <si>
    <t>ICICI Pru Innovation Fund Reg (G)</t>
  </si>
  <si>
    <t>INF109K01431</t>
  </si>
  <si>
    <t>ICICI Pru Large &amp; Mid Cap Fund Reg (G)</t>
  </si>
  <si>
    <t>INF109K01VQ1</t>
  </si>
  <si>
    <t>ICICI Pru Liquid Fund (G)</t>
  </si>
  <si>
    <t>INF109KC1LG4</t>
  </si>
  <si>
    <t>ICICI Pru Manufacturing Fund Reg (G)</t>
  </si>
  <si>
    <t>INF109K01AN2</t>
  </si>
  <si>
    <t>ICICI Pru MidCap Fund (G)</t>
  </si>
  <si>
    <t>INF109KC1D69</t>
  </si>
  <si>
    <t>ICICI Pru MNC Fund Reg (G)</t>
  </si>
  <si>
    <t>INF109K01761</t>
  </si>
  <si>
    <t>ICICI Pru Multi Asset Fund (G)</t>
  </si>
  <si>
    <t>INF109K01613</t>
  </si>
  <si>
    <t>ICICI Pru Multicap Fund Reg (G)</t>
  </si>
  <si>
    <t>INF109KC1X81</t>
  </si>
  <si>
    <t>ICICI Pru Passive Multi Asset Fund OF Fund (G)</t>
  </si>
  <si>
    <t>INF109KC1GE9</t>
  </si>
  <si>
    <t>ICICI Pru Pharma Healthcare And Diagnostics Fund (G)</t>
  </si>
  <si>
    <t>INF109KC19H2</t>
  </si>
  <si>
    <t>ICICI Pru PSU Equity Fund Reg (G)</t>
  </si>
  <si>
    <t>INF109K01TK8</t>
  </si>
  <si>
    <t>ICICI Pru Regular Gold Savings Reg (G)</t>
  </si>
  <si>
    <t>INF109K01902</t>
  </si>
  <si>
    <t>ICICI Pru Regular Savings Fund (G)</t>
  </si>
  <si>
    <t>INF109K01AB7</t>
  </si>
  <si>
    <t>ICICI Pru Savings Fund (G)</t>
  </si>
  <si>
    <t>INF109K01BI0</t>
  </si>
  <si>
    <t>ICICI Pru Smallcap Fund Reg (G)</t>
  </si>
  <si>
    <t>INF109K01506</t>
  </si>
  <si>
    <t>ICICI Pru Technology Fund (G)</t>
  </si>
  <si>
    <t>INF109K01852</t>
  </si>
  <si>
    <t>ICICI Pru Thematic Advantage Fund (FOF) (G)</t>
  </si>
  <si>
    <t>INF109KC19J8</t>
  </si>
  <si>
    <t>ICICI Pru Transportation and Logistics Fund Reg (G)</t>
  </si>
  <si>
    <t>INF109K01TP7</t>
  </si>
  <si>
    <t>ICICI Pru Ultra Short Term Fund Reg (G)</t>
  </si>
  <si>
    <t>INF192K01544</t>
  </si>
  <si>
    <t>JM Aggressive Hybrid Fund (G)</t>
  </si>
  <si>
    <t>INF192K01882</t>
  </si>
  <si>
    <t>JM Liquid Fund (G)</t>
  </si>
  <si>
    <t>INF192K01NE0</t>
  </si>
  <si>
    <t>JM Small Cap Fund Reg (G)</t>
  </si>
  <si>
    <t>INF174KA1MA7</t>
  </si>
  <si>
    <t>Kotak Banking &amp; Financial Services Fund Reg (G)</t>
  </si>
  <si>
    <t>INF174K01302</t>
  </si>
  <si>
    <t>Kotak Equity Arbitrage Fund (G)</t>
  </si>
  <si>
    <t>INF174KA1EK3</t>
  </si>
  <si>
    <t>Kotak Focused Equity Fund (G)</t>
  </si>
  <si>
    <t>INF174KA1IF4</t>
  </si>
  <si>
    <t>Kotak Manufacture in India Fund (G) Direct</t>
  </si>
  <si>
    <t>INF174KA1IC1</t>
  </si>
  <si>
    <t>Kotak Manufacture in India Fund Reg (G)</t>
  </si>
  <si>
    <t>INF174KA1PA0</t>
  </si>
  <si>
    <t>Kotak Multicap Fund (G)</t>
  </si>
  <si>
    <t>INF174K01FD6</t>
  </si>
  <si>
    <t>Kotak Savings Fund (G)</t>
  </si>
  <si>
    <t>INF174K01211</t>
  </si>
  <si>
    <t>Kotak Smallcap Fund (G)</t>
  </si>
  <si>
    <t>INF174V01754</t>
  </si>
  <si>
    <t>Mahindra Manulife Aggressive Hybrid Fund (G)</t>
  </si>
  <si>
    <t>INF174V01BB6</t>
  </si>
  <si>
    <t>Mahindra Manulife Balanced Advantage Fund Reg (G)</t>
  </si>
  <si>
    <t>INF174V01AD4</t>
  </si>
  <si>
    <t>Mahindra Manulife Focused Fund Reg (G)</t>
  </si>
  <si>
    <t>INF174V01218</t>
  </si>
  <si>
    <t>Mahindra Manulife Low Duration Fund Reg (G)</t>
  </si>
  <si>
    <t>INF174V01317</t>
  </si>
  <si>
    <t>Mahindra Manulife Multi Asset Allocation Fund Reg (G)</t>
  </si>
  <si>
    <t>INF174V01853</t>
  </si>
  <si>
    <t>Mahindra Manulife Ultra Short Duration Fund Reg (G)</t>
  </si>
  <si>
    <t>INF204KB16V0</t>
  </si>
  <si>
    <t>Nippon India Multi-Asset Asset</t>
  </si>
  <si>
    <t>INF879O01209</t>
  </si>
  <si>
    <t>Parag Parikh Conservative Hybrid Fund (G) Direct</t>
  </si>
  <si>
    <t>INF879O01092</t>
  </si>
  <si>
    <t>Parag Parikh ELSS Tax Saver Fund (G)</t>
  </si>
  <si>
    <t>INF879O01027</t>
  </si>
  <si>
    <t>Parag Parikh Flexi Cap Fund (G) Direct</t>
  </si>
  <si>
    <t>INF879O01019</t>
  </si>
  <si>
    <t>Parag Parikh Flexi Cap Fund Reg (G)</t>
  </si>
  <si>
    <t>INF879O01035</t>
  </si>
  <si>
    <t>Parag Parikh Liquid Fun</t>
  </si>
  <si>
    <t>Parag Parikh Liquid Fund (G)</t>
  </si>
  <si>
    <t>INF663L01X88</t>
  </si>
  <si>
    <t>PGIM India Large and Mid Cap Fund Reg (G)</t>
  </si>
  <si>
    <t>INF663L01DZ4</t>
  </si>
  <si>
    <t>PGIM India Midcap Fund Reg (G)</t>
  </si>
  <si>
    <t>INF663L01W30</t>
  </si>
  <si>
    <t>PGIM India Small Cap Fund Reg (G)</t>
  </si>
  <si>
    <t>INF966L01267</t>
  </si>
  <si>
    <t>Quant Absolute Fund (G)</t>
  </si>
  <si>
    <t>INF966L01BO9</t>
  </si>
  <si>
    <t>Quant Dynamic Asset Allocation Fund Reg (G)</t>
  </si>
  <si>
    <t>INF966L01317</t>
  </si>
  <si>
    <t>Quant Liquid Fund (G)</t>
  </si>
  <si>
    <t>INF966L01176</t>
  </si>
  <si>
    <t>Quant MidCap Fund (G)</t>
  </si>
  <si>
    <t>INF966L01200</t>
  </si>
  <si>
    <t>Quant Multi Asset Allocation Fund (G)</t>
  </si>
  <si>
    <t>INF966L01AA0</t>
  </si>
  <si>
    <t>Quant Small Cap Fund (G)</t>
  </si>
  <si>
    <t>INF200KA1473</t>
  </si>
  <si>
    <t>SBI Banking &amp; Financial Services Fund Reg (G)</t>
  </si>
  <si>
    <t>INF200KB1092</t>
  </si>
  <si>
    <t>SBI Energy Opportunities Fund Reg (G)</t>
  </si>
  <si>
    <t>INF200K01388</t>
  </si>
  <si>
    <t>SBI Focused Equity Fund Reg (G)</t>
  </si>
  <si>
    <t>INF200K01305</t>
  </si>
  <si>
    <t>SBI Large &amp; Midcap Fund Reg (G)</t>
  </si>
  <si>
    <t>INF200K01T28</t>
  </si>
  <si>
    <t>SBI Small Cap Fund Reg (G)</t>
  </si>
  <si>
    <t>INF200K01VS4</t>
  </si>
  <si>
    <t>SBI Technology Opportunities Fund Reg (G)</t>
  </si>
  <si>
    <t>INF277K01626</t>
  </si>
  <si>
    <t>Tata Mid Cap Fund Reg (G)</t>
  </si>
  <si>
    <t>INF277KA1703</t>
  </si>
  <si>
    <t>Tata Multi Asset Allocation Fund Reg (G)</t>
  </si>
  <si>
    <t>INF277K015O2</t>
  </si>
  <si>
    <t>Tata Smallcap Fund Reg (G)</t>
  </si>
  <si>
    <t>INF277K016S1</t>
  </si>
  <si>
    <t>Tata Ultra Short Term Fund (G)</t>
  </si>
  <si>
    <t>INF582M01DI0</t>
  </si>
  <si>
    <t>Union Balanced Advantage Fund (G)</t>
  </si>
  <si>
    <t>INF582M01JA4</t>
  </si>
  <si>
    <t>Union Innovation &amp; Opportunities Fund Reg (G)</t>
  </si>
  <si>
    <t>INF582M01GD4</t>
  </si>
  <si>
    <t>Union Large &amp; MidCap Fund (G)</t>
  </si>
  <si>
    <t>INF582M01HO9</t>
  </si>
  <si>
    <t>Union Money Market Fund (G)</t>
  </si>
  <si>
    <t>INF582M01BY1</t>
  </si>
  <si>
    <t>Union Small Cap Fund Reg (G)</t>
  </si>
  <si>
    <t>INF582M01EO6</t>
  </si>
  <si>
    <t>Union Value Fund (G)</t>
  </si>
  <si>
    <t>INF789FB1RJ0</t>
  </si>
  <si>
    <t>UTI Arbitrage Fund (G)</t>
  </si>
  <si>
    <t>INF189A01053</t>
  </si>
  <si>
    <t>UTI Flexi Cap Fund Reg (G)</t>
  </si>
  <si>
    <t>INF789F01PH1</t>
  </si>
  <si>
    <t>UTI Liquid Fund Reg (G)</t>
  </si>
  <si>
    <t>INF789F01AP6</t>
  </si>
  <si>
    <t>UTI Multi Asset Allocation Fund Reg (G)</t>
  </si>
  <si>
    <t>INF789F01570</t>
  </si>
  <si>
    <t>UTI Ultra Short Duration Fund (G)</t>
  </si>
  <si>
    <t>INF03VN01928</t>
  </si>
  <si>
    <t>WhiteOak Capital Arbitrage Fund Reg (G)</t>
  </si>
  <si>
    <t>INF03VN01811</t>
  </si>
  <si>
    <t>WhiteOak Capital Balanced Advantage Fund Reg (G)</t>
  </si>
  <si>
    <t>INF03VN01852</t>
  </si>
  <si>
    <t>WhiteOak Capital Banking &amp; Financial Services Fund Reg (G)</t>
  </si>
  <si>
    <t>INF03VN01647</t>
  </si>
  <si>
    <t>WhiteOak Capital ELSS Tax Saver Fund Reg (G)</t>
  </si>
  <si>
    <t>INF03VN01530</t>
  </si>
  <si>
    <t>WhiteOak Capital Flexi Cap Fund (G)</t>
  </si>
  <si>
    <t>INF03VN01837</t>
  </si>
  <si>
    <t>WhiteOak Capital Large &amp; Mid Cap Fund Reg (G)</t>
  </si>
  <si>
    <t>INF03VN01126</t>
  </si>
  <si>
    <t>WhiteOak Capital Liquid Fund (G)</t>
  </si>
  <si>
    <t>INF03VN01563</t>
  </si>
  <si>
    <t>WhiteOak Capital Mid Cap Fund Reg (G)</t>
  </si>
  <si>
    <t>INF03VN01795</t>
  </si>
  <si>
    <t>WhiteOak Capital Multi Asset Allocation Fund Reg (G)</t>
  </si>
  <si>
    <t>INF03VN01282</t>
  </si>
  <si>
    <t>WhiteOak Capital Ultra Short Duration Fund (G)</t>
  </si>
  <si>
    <t>INF179K01AP0</t>
  </si>
  <si>
    <t>HDFC Multi Asset Fund (G)</t>
  </si>
  <si>
    <t>INF0S5R01034</t>
  </si>
  <si>
    <t>Old Bridge Focused Fund Reg (G)</t>
  </si>
  <si>
    <t>INF179KA1RT1</t>
  </si>
  <si>
    <t>HDFC Large And Mid Cap Fund Reg (G)</t>
  </si>
  <si>
    <t>Axis Treasury Advantage Fund (G)</t>
  </si>
  <si>
    <t>INF846K01B51</t>
  </si>
  <si>
    <t>Axis Flexi cap Fund (G)</t>
  </si>
  <si>
    <t>INF209K01VT3</t>
  </si>
  <si>
    <t>Aditya Birla SL MNC Fund Reg (G)</t>
  </si>
  <si>
    <t>INF760K01EI4</t>
  </si>
  <si>
    <t>Canara Robeco Large Cap Fund (G)</t>
  </si>
  <si>
    <t>INF846K01CH7</t>
  </si>
  <si>
    <t>Axis Focused Fund Reg (G)</t>
  </si>
  <si>
    <t>INF846K01W56</t>
  </si>
  <si>
    <t>Axis ESG Integration Strategy Fund Reg (G)</t>
  </si>
  <si>
    <t>INF846K01412</t>
  </si>
  <si>
    <t>Axis Liquid Fund (G)</t>
  </si>
  <si>
    <t>INF846K01R46</t>
  </si>
  <si>
    <t>Axis Money Market Fund (G)</t>
  </si>
  <si>
    <t>INF200K01HA1</t>
  </si>
  <si>
    <t>SBI Gold Fund Reg (G)</t>
  </si>
  <si>
    <t>INF109K01654</t>
  </si>
  <si>
    <t>ICICI Pru Short Term Fund (G)</t>
  </si>
  <si>
    <t>INF109K01878</t>
  </si>
  <si>
    <t>ICICI Pru Debt Management Fund (G)</t>
  </si>
  <si>
    <t>Axis Dynamic Bond Fund (G)</t>
  </si>
  <si>
    <t>INF200K01VR6</t>
  </si>
  <si>
    <t>SBI Consumption Opportunities Fund (G)</t>
  </si>
  <si>
    <t>INF200K01636</t>
  </si>
  <si>
    <t>SBI Savings Fund Reg (G)</t>
  </si>
  <si>
    <t>INF200KA1DA4</t>
  </si>
  <si>
    <t>SBI Equity Savings Fund Reg (G)</t>
  </si>
  <si>
    <t>INF846K01BP2</t>
  </si>
  <si>
    <t>Axis Strategic Bond Fund (G)</t>
  </si>
  <si>
    <t>INF740K01250</t>
  </si>
  <si>
    <t>DSP World Gold FoF Reg (G)</t>
  </si>
  <si>
    <t>INF740K01730</t>
  </si>
  <si>
    <t>DSP World Mining FoF Reg (G)</t>
  </si>
  <si>
    <t>INF200K01719</t>
  </si>
  <si>
    <t>SBI Magnum Medium Duration Fund Reg (G)</t>
  </si>
  <si>
    <t>INF663L01FJ3</t>
  </si>
  <si>
    <t>PGIM India Flexi Cap Fund (G)</t>
  </si>
  <si>
    <t>INF223J01FK8</t>
  </si>
  <si>
    <t>PGIM India Ultra Short Duration Fund (G)</t>
  </si>
  <si>
    <t>INF090I01809</t>
  </si>
  <si>
    <t>Franklin India Prima Fund (G)</t>
  </si>
  <si>
    <t>INF109K01TX1</t>
  </si>
  <si>
    <t>ICICI Pru Money Market Fund Reg (G)</t>
  </si>
  <si>
    <t>INF846K01E90</t>
  </si>
  <si>
    <t>Axis Aggressive Hybrid Fund (G)</t>
  </si>
  <si>
    <t>INF179KB11R3</t>
  </si>
  <si>
    <t>HDFC Ultra Short Term Fund Reg (G)</t>
  </si>
  <si>
    <t>INF223J01AU8</t>
  </si>
  <si>
    <t>PGIM India Global Equity Opportunities FoF (G)</t>
  </si>
  <si>
    <t>INF846K016E3</t>
  </si>
  <si>
    <t>Axis Multi Cap Fund Reg (G)</t>
  </si>
  <si>
    <t>INF200K01HZ8</t>
  </si>
  <si>
    <t>SBI Short Term Debt Fund Reg (G)</t>
  </si>
  <si>
    <t>INF760K01JZ7</t>
  </si>
  <si>
    <t>Canara Robeco Value Fund Reg (G)</t>
  </si>
  <si>
    <t>INF223J01BP6</t>
  </si>
  <si>
    <t>PGIM India Liquid Fund (G)</t>
  </si>
  <si>
    <t>INF109K01RT3</t>
  </si>
  <si>
    <t>ICICI Pru Banking and PSU Debt Fund Reg (G)</t>
  </si>
  <si>
    <t>INF966L01341</t>
  </si>
  <si>
    <t>Quant Large and Mid Cap Fund (G)</t>
  </si>
  <si>
    <t>INF109KC18L6</t>
  </si>
  <si>
    <t>ICICI Pru Nifty Pharma Index Fund Reg (G)</t>
  </si>
  <si>
    <t>Tata Multicap Fund Reg (G)</t>
  </si>
  <si>
    <t>INF582M01GM5</t>
  </si>
  <si>
    <t>Union MidCap Fund Reg (G)</t>
  </si>
  <si>
    <t>INF277KA1190</t>
  </si>
  <si>
    <t>Tata Business Cycle Fund Reg (G)</t>
  </si>
  <si>
    <t>Kotak Arbitrage Fund (G)</t>
  </si>
  <si>
    <t>Kotak Focused Fund (G)</t>
  </si>
  <si>
    <t>INF740K01094</t>
  </si>
  <si>
    <t>DSP Large &amp; Mid Cap Fund Reg (G)</t>
  </si>
  <si>
    <t>INF582M01JU2</t>
  </si>
  <si>
    <t>Union Multi Asset Allocation Fund Reg (G)</t>
  </si>
  <si>
    <t>Column1</t>
  </si>
  <si>
    <t>AMFI</t>
  </si>
  <si>
    <t>SCHEME NAME</t>
  </si>
  <si>
    <t>UTI Gold E T F FoF Reg (G)</t>
  </si>
  <si>
    <t>DSP Gold E T F Fund of Fund Reg (G)</t>
  </si>
  <si>
    <t>Nippon India Gold Savings Fund (G)</t>
  </si>
  <si>
    <t>SBI Focused Fund Reg (G)</t>
  </si>
  <si>
    <t>UTI Balanced Advantage Fund Reg (G)</t>
  </si>
  <si>
    <t>HDFC Hybrid Equity Fund (G)</t>
  </si>
  <si>
    <t>Helios Small Cap Fund (G)</t>
  </si>
  <si>
    <t>WhiteOak Capital Multi Cap Fund Reg (G)</t>
  </si>
  <si>
    <t>DSP Multi Asset Allocation Fund Reg (G)</t>
  </si>
  <si>
    <t>DSP Arbitrage Fund Reg Plan (G)</t>
  </si>
  <si>
    <t>Code</t>
  </si>
  <si>
    <t>INF0R8701350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</si>
</sst>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FFFFFF"/>
      <name val="Arial Unicode MS"/>
    </font>
    <font>
      <sz val="11"/>
      <color theme="1"/>
      <name val="Calibri"/>
      <family val="2"/>
    </font>
    <font>
      <sz val="11"/>
      <color rgb="FFA6A6A6"/>
      <name val="Calibri"/>
      <family val="2"/>
    </font>
    <font>
      <b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B"/>
        <bgColor rgb="FFDDF2FB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3" borderId="0" xfId="0" applyFont="1" applyFill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 Unicode MS"/>
        <scheme val="none"/>
      </font>
      <fill>
        <patternFill patternType="solid">
          <fgColor rgb="FF000000"/>
          <bgColor rgb="FF00000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DF2FB"/>
          <bgColor rgb="FFDDF2F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khi\OneDrive%20-%20kevalinvest.com\Kamal%20Charan\SchemeData1009251108SS.csv" TargetMode="External"/><Relationship Id="rId1" Type="http://schemas.openxmlformats.org/officeDocument/2006/relationships/externalLinkPath" Target="/Users/nikhi/OneDrive%20-%20kevalinvest.com/Kamal%20Charan/SchemeData1009251108S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meData1009251108S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AB90C-5FBE-4BA7-88DD-51A3D7ED72CE}" name="Table1" displayName="Table1" ref="B1:D207" totalsRowShown="0" headerRowDxfId="4">
  <autoFilter ref="B1:D207" xr:uid="{093AB90C-5FBE-4BA7-88DD-51A3D7ED72CE}"/>
  <tableColumns count="3">
    <tableColumn id="1" xr3:uid="{97C39A09-6BE1-41BD-A725-720C9B5E037E}" name="AMFI" dataDxfId="3"/>
    <tableColumn id="2" xr3:uid="{DD449877-C7E0-4C2A-9E63-474E8D591FF5}" name="ISIN" dataDxfId="2"/>
    <tableColumn id="3" xr3:uid="{6B183389-DC0D-4C45-B5CF-9271423A133A}" name="Fund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693531-5E49-4E69-A9A8-06A15AA9E375}" name="Table2" displayName="Table2" ref="G1:I86" totalsRowShown="0">
  <autoFilter ref="G1:I86" xr:uid="{0A693531-5E49-4E69-A9A8-06A15AA9E375}"/>
  <sortState xmlns:xlrd2="http://schemas.microsoft.com/office/spreadsheetml/2017/richdata2" ref="G2:H86">
    <sortCondition descending="1" ref="H1:H86"/>
  </sortState>
  <tableColumns count="3">
    <tableColumn id="1" xr3:uid="{BE869855-655F-4F81-A2A7-ABB01757D4A1}" name="SCHEME NAME"/>
    <tableColumn id="2" xr3:uid="{150D61E5-23D7-4200-A086-E0A9DB4A464D}" name="Code">
      <calculatedColumnFormula>_xlfn.XLOOKUP(G2,Table1[Fund],Table1[AMFI],,0)</calculatedColumnFormula>
    </tableColumn>
    <tableColumn id="3" xr3:uid="{A2C5170E-D4D2-42CD-928C-10A556C5880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6E83-E3FC-4236-97ED-7A08848E0396}">
  <dimension ref="B1:D207"/>
  <sheetViews>
    <sheetView tabSelected="1" workbookViewId="0">
      <selection activeCell="E12" sqref="E12"/>
    </sheetView>
  </sheetViews>
  <sheetFormatPr defaultRowHeight="14.4"/>
  <cols>
    <col min="2" max="2" width="10.44140625" style="1" customWidth="1"/>
    <col min="3" max="3" width="14.33203125" style="1" bestFit="1" customWidth="1"/>
    <col min="4" max="4" width="53.44140625" style="1" bestFit="1" customWidth="1"/>
    <col min="5" max="5" width="54.33203125" bestFit="1" customWidth="1"/>
  </cols>
  <sheetData>
    <row r="1" spans="2:4">
      <c r="B1" s="1" t="s">
        <v>388</v>
      </c>
      <c r="C1" s="1" t="s">
        <v>0</v>
      </c>
      <c r="D1" s="1" t="s">
        <v>1</v>
      </c>
    </row>
    <row r="2" spans="2:4">
      <c r="B2" s="5">
        <v>131578</v>
      </c>
      <c r="C2" s="2" t="s">
        <v>2</v>
      </c>
      <c r="D2" s="3" t="s">
        <v>3</v>
      </c>
    </row>
    <row r="3" spans="2:4">
      <c r="B3" s="5">
        <v>152800</v>
      </c>
      <c r="C3" s="2" t="s">
        <v>4</v>
      </c>
      <c r="D3" s="3" t="s">
        <v>5</v>
      </c>
    </row>
    <row r="4" spans="2:4">
      <c r="B4">
        <v>130771</v>
      </c>
      <c r="C4" s="2" t="s">
        <v>6</v>
      </c>
      <c r="D4" s="3" t="s">
        <v>7</v>
      </c>
    </row>
    <row r="5" spans="2:4">
      <c r="B5" s="5">
        <v>152804</v>
      </c>
      <c r="C5" s="2" t="s">
        <v>8</v>
      </c>
      <c r="D5" s="3" t="s">
        <v>9</v>
      </c>
    </row>
    <row r="6" spans="2:4">
      <c r="B6" s="5">
        <v>115068</v>
      </c>
      <c r="C6" s="2" t="s">
        <v>10</v>
      </c>
      <c r="D6" s="3" t="s">
        <v>11</v>
      </c>
    </row>
    <row r="7" spans="2:4">
      <c r="B7" s="5">
        <v>112323</v>
      </c>
      <c r="C7" s="2" t="s">
        <v>12</v>
      </c>
      <c r="D7" s="3" t="s">
        <v>13</v>
      </c>
    </row>
    <row r="8" spans="2:4">
      <c r="B8" s="5">
        <v>115897</v>
      </c>
      <c r="C8" s="2" t="s">
        <v>14</v>
      </c>
      <c r="D8" s="3" t="s">
        <v>15</v>
      </c>
    </row>
    <row r="9" spans="2:4">
      <c r="B9" s="5">
        <v>112277</v>
      </c>
      <c r="C9" s="2" t="s">
        <v>16</v>
      </c>
      <c r="D9" s="3" t="s">
        <v>17</v>
      </c>
    </row>
    <row r="10" spans="2:4">
      <c r="B10" s="5">
        <v>120465</v>
      </c>
      <c r="C10" s="2" t="s">
        <v>18</v>
      </c>
      <c r="D10" s="3" t="s">
        <v>19</v>
      </c>
    </row>
    <row r="11" spans="2:4">
      <c r="B11" s="5">
        <v>120389</v>
      </c>
      <c r="C11" s="2" t="s">
        <v>20</v>
      </c>
      <c r="D11" s="3" t="s">
        <v>21</v>
      </c>
    </row>
    <row r="12" spans="2:4">
      <c r="B12" s="5">
        <v>114564</v>
      </c>
      <c r="C12" s="2" t="s">
        <v>22</v>
      </c>
      <c r="D12" s="3" t="s">
        <v>23</v>
      </c>
    </row>
    <row r="13" spans="2:4">
      <c r="B13" s="5">
        <v>120505</v>
      </c>
      <c r="C13" s="2" t="s">
        <v>24</v>
      </c>
      <c r="D13" s="3" t="s">
        <v>25</v>
      </c>
    </row>
    <row r="14" spans="2:4">
      <c r="B14" s="5">
        <v>113064</v>
      </c>
      <c r="C14" s="2" t="s">
        <v>26</v>
      </c>
      <c r="D14" s="3" t="s">
        <v>27</v>
      </c>
    </row>
    <row r="15" spans="2:4">
      <c r="B15" s="5">
        <v>149383</v>
      </c>
      <c r="C15" s="2" t="s">
        <v>28</v>
      </c>
      <c r="D15" s="3" t="s">
        <v>29</v>
      </c>
    </row>
    <row r="16" spans="2:4">
      <c r="B16" s="5">
        <v>146678</v>
      </c>
      <c r="C16" s="2" t="s">
        <v>30</v>
      </c>
      <c r="D16" s="3" t="s">
        <v>31</v>
      </c>
    </row>
    <row r="17" spans="2:4">
      <c r="B17" s="5">
        <v>125350</v>
      </c>
      <c r="C17" s="2" t="s">
        <v>32</v>
      </c>
      <c r="D17" s="3" t="s">
        <v>33</v>
      </c>
    </row>
    <row r="18" spans="2:4">
      <c r="B18" s="5">
        <v>112214</v>
      </c>
      <c r="C18" s="2" t="s">
        <v>34</v>
      </c>
      <c r="D18" s="4" t="s">
        <v>35</v>
      </c>
    </row>
    <row r="19" spans="2:4">
      <c r="B19" s="5">
        <v>144759</v>
      </c>
      <c r="C19" s="2" t="s">
        <v>36</v>
      </c>
      <c r="D19" s="4" t="s">
        <v>37</v>
      </c>
    </row>
    <row r="20" spans="2:4">
      <c r="B20" s="5">
        <v>149167</v>
      </c>
      <c r="C20" s="2" t="s">
        <v>38</v>
      </c>
      <c r="D20" s="3" t="s">
        <v>39</v>
      </c>
    </row>
    <row r="21" spans="2:4">
      <c r="B21" s="5">
        <v>108845</v>
      </c>
      <c r="C21" s="2" t="s">
        <v>40</v>
      </c>
      <c r="D21" s="4" t="s">
        <v>41</v>
      </c>
    </row>
    <row r="22" spans="2:4">
      <c r="B22" s="5">
        <v>152877</v>
      </c>
      <c r="C22" s="2" t="s">
        <v>42</v>
      </c>
      <c r="D22" s="4" t="s">
        <v>43</v>
      </c>
    </row>
    <row r="23" spans="2:4">
      <c r="B23" s="5">
        <v>108690</v>
      </c>
      <c r="C23" s="2" t="s">
        <v>44</v>
      </c>
      <c r="D23" s="4" t="s">
        <v>45</v>
      </c>
    </row>
    <row r="24" spans="2:4">
      <c r="B24" s="5">
        <v>152326</v>
      </c>
      <c r="C24" s="2" t="s">
        <v>46</v>
      </c>
      <c r="D24" s="3" t="s">
        <v>47</v>
      </c>
    </row>
    <row r="25" spans="2:4">
      <c r="B25" s="5">
        <v>112152</v>
      </c>
      <c r="C25" s="2" t="s">
        <v>48</v>
      </c>
      <c r="D25" s="3" t="s">
        <v>49</v>
      </c>
    </row>
    <row r="26" spans="2:4">
      <c r="B26" s="5">
        <v>106166</v>
      </c>
      <c r="C26" s="2" t="s">
        <v>50</v>
      </c>
      <c r="D26" s="3" t="s">
        <v>51</v>
      </c>
    </row>
    <row r="27" spans="2:4">
      <c r="B27" s="5">
        <v>148884</v>
      </c>
      <c r="C27" s="2" t="s">
        <v>52</v>
      </c>
      <c r="D27" s="3" t="s">
        <v>53</v>
      </c>
    </row>
    <row r="28" spans="2:4">
      <c r="B28" s="5">
        <v>101588</v>
      </c>
      <c r="C28" s="2" t="s">
        <v>54</v>
      </c>
      <c r="D28" s="4" t="s">
        <v>55</v>
      </c>
    </row>
    <row r="29" spans="2:4">
      <c r="B29" s="5">
        <v>103390</v>
      </c>
      <c r="C29" s="2" t="s">
        <v>56</v>
      </c>
      <c r="D29" s="3" t="s">
        <v>57</v>
      </c>
    </row>
    <row r="30" spans="2:4">
      <c r="B30" s="5">
        <v>102920</v>
      </c>
      <c r="C30" s="2" t="s">
        <v>58</v>
      </c>
      <c r="D30" s="3" t="s">
        <v>59</v>
      </c>
    </row>
    <row r="31" spans="2:4">
      <c r="B31" s="5">
        <v>152447</v>
      </c>
      <c r="C31" s="2" t="s">
        <v>60</v>
      </c>
      <c r="D31" s="3" t="s">
        <v>61</v>
      </c>
    </row>
    <row r="32" spans="2:4">
      <c r="B32" s="5">
        <v>115077</v>
      </c>
      <c r="C32" s="2" t="s">
        <v>62</v>
      </c>
      <c r="D32" s="4" t="s">
        <v>63</v>
      </c>
    </row>
    <row r="33" spans="2:4">
      <c r="B33" s="5">
        <v>146127</v>
      </c>
      <c r="C33" s="2" t="s">
        <v>64</v>
      </c>
      <c r="D33" s="3" t="s">
        <v>65</v>
      </c>
    </row>
    <row r="34" spans="2:4">
      <c r="B34" s="5">
        <v>109371</v>
      </c>
      <c r="C34" s="2" t="s">
        <v>66</v>
      </c>
      <c r="D34" s="4" t="s">
        <v>67</v>
      </c>
    </row>
    <row r="35" spans="2:4">
      <c r="B35" s="5">
        <v>105875</v>
      </c>
      <c r="C35" s="2" t="s">
        <v>68</v>
      </c>
      <c r="D35" s="3" t="s">
        <v>69</v>
      </c>
    </row>
    <row r="36" spans="2:4">
      <c r="B36" s="5">
        <v>108202</v>
      </c>
      <c r="C36" s="2" t="s">
        <v>70</v>
      </c>
      <c r="D36" s="3" t="s">
        <v>71</v>
      </c>
    </row>
    <row r="37" spans="2:4">
      <c r="B37" s="5">
        <v>112108</v>
      </c>
      <c r="C37" s="2" t="s">
        <v>72</v>
      </c>
      <c r="D37" s="3" t="s">
        <v>73</v>
      </c>
    </row>
    <row r="38" spans="2:4">
      <c r="B38" s="5">
        <v>130205</v>
      </c>
      <c r="C38" s="2" t="s">
        <v>74</v>
      </c>
      <c r="D38" s="3" t="s">
        <v>75</v>
      </c>
    </row>
    <row r="39" spans="2:4">
      <c r="B39" s="5">
        <v>153255</v>
      </c>
      <c r="C39" s="2" t="s">
        <v>76</v>
      </c>
      <c r="D39" s="3" t="s">
        <v>77</v>
      </c>
    </row>
    <row r="40" spans="2:4">
      <c r="B40" s="5">
        <v>140355</v>
      </c>
      <c r="C40" s="2" t="s">
        <v>78</v>
      </c>
      <c r="D40" s="3" t="s">
        <v>79</v>
      </c>
    </row>
    <row r="41" spans="2:4">
      <c r="B41" s="5">
        <v>150382</v>
      </c>
      <c r="C41" s="2" t="s">
        <v>80</v>
      </c>
      <c r="D41" s="3" t="s">
        <v>81</v>
      </c>
    </row>
    <row r="42" spans="2:4">
      <c r="B42" s="5">
        <v>140182</v>
      </c>
      <c r="C42" s="2" t="s">
        <v>82</v>
      </c>
      <c r="D42" s="4" t="s">
        <v>83</v>
      </c>
    </row>
    <row r="43" spans="2:4">
      <c r="B43" s="5">
        <v>140225</v>
      </c>
      <c r="C43" s="2" t="s">
        <v>84</v>
      </c>
      <c r="D43" s="3" t="s">
        <v>85</v>
      </c>
    </row>
    <row r="44" spans="2:4">
      <c r="B44" s="5">
        <v>140229</v>
      </c>
      <c r="C44" s="2" t="s">
        <v>86</v>
      </c>
      <c r="D44" s="4" t="s">
        <v>87</v>
      </c>
    </row>
    <row r="45" spans="2:4">
      <c r="B45" s="5">
        <v>152095</v>
      </c>
      <c r="C45" s="2" t="s">
        <v>88</v>
      </c>
      <c r="D45" s="3" t="s">
        <v>89</v>
      </c>
    </row>
    <row r="46" spans="2:4">
      <c r="B46" s="5">
        <v>152988</v>
      </c>
      <c r="C46" s="2" t="s">
        <v>90</v>
      </c>
      <c r="D46" s="4" t="s">
        <v>91</v>
      </c>
    </row>
    <row r="47" spans="2:4">
      <c r="B47" s="5">
        <v>146193</v>
      </c>
      <c r="C47" s="2" t="s">
        <v>92</v>
      </c>
      <c r="D47" s="3" t="s">
        <v>93</v>
      </c>
    </row>
    <row r="48" spans="2:4">
      <c r="B48" s="5">
        <v>152439</v>
      </c>
      <c r="C48" s="2" t="s">
        <v>94</v>
      </c>
      <c r="D48" s="3" t="s">
        <v>95</v>
      </c>
    </row>
    <row r="49" spans="2:4">
      <c r="B49">
        <v>148063</v>
      </c>
      <c r="C49" s="2" t="s">
        <v>94</v>
      </c>
      <c r="D49" s="3" t="s">
        <v>96</v>
      </c>
    </row>
    <row r="50" spans="2:4">
      <c r="B50" s="5">
        <v>105817</v>
      </c>
      <c r="C50" s="2" t="s">
        <v>97</v>
      </c>
      <c r="D50" s="3" t="s">
        <v>98</v>
      </c>
    </row>
    <row r="51" spans="2:4">
      <c r="B51" s="5">
        <v>105758</v>
      </c>
      <c r="C51" s="2" t="s">
        <v>99</v>
      </c>
      <c r="D51" s="4" t="s">
        <v>100</v>
      </c>
    </row>
    <row r="52" spans="2:4">
      <c r="B52" s="5">
        <v>152512</v>
      </c>
      <c r="C52" s="2" t="s">
        <v>101</v>
      </c>
      <c r="D52" s="3" t="s">
        <v>102</v>
      </c>
    </row>
    <row r="53" spans="2:4">
      <c r="B53" s="5">
        <v>152682</v>
      </c>
      <c r="C53" s="2" t="s">
        <v>103</v>
      </c>
      <c r="D53" s="3" t="s">
        <v>104</v>
      </c>
    </row>
    <row r="54" spans="2:4">
      <c r="B54" s="5">
        <v>152136</v>
      </c>
      <c r="C54" s="2" t="s">
        <v>105</v>
      </c>
      <c r="D54" s="3" t="s">
        <v>106</v>
      </c>
    </row>
    <row r="55" spans="2:4">
      <c r="B55" s="5">
        <v>152943</v>
      </c>
      <c r="C55" s="2" t="s">
        <v>107</v>
      </c>
      <c r="D55" s="3" t="s">
        <v>108</v>
      </c>
    </row>
    <row r="56" spans="2:4">
      <c r="B56" s="5">
        <v>153327</v>
      </c>
      <c r="C56" s="2" t="s">
        <v>109</v>
      </c>
      <c r="D56" s="3" t="s">
        <v>110</v>
      </c>
    </row>
    <row r="57" spans="2:4">
      <c r="B57" s="5">
        <v>152153</v>
      </c>
      <c r="C57" s="2" t="s">
        <v>111</v>
      </c>
      <c r="D57" s="4" t="s">
        <v>112</v>
      </c>
    </row>
    <row r="58" spans="2:4">
      <c r="B58" s="5">
        <v>112096</v>
      </c>
      <c r="C58" s="2" t="s">
        <v>113</v>
      </c>
      <c r="D58" s="4" t="s">
        <v>114</v>
      </c>
    </row>
    <row r="59" spans="2:4">
      <c r="B59" s="5">
        <v>102137</v>
      </c>
      <c r="C59" s="2" t="s">
        <v>115</v>
      </c>
      <c r="D59" s="3" t="s">
        <v>116</v>
      </c>
    </row>
    <row r="60" spans="2:4">
      <c r="B60" s="5">
        <v>109445</v>
      </c>
      <c r="C60" s="2" t="s">
        <v>117</v>
      </c>
      <c r="D60" s="3" t="s">
        <v>118</v>
      </c>
    </row>
    <row r="61" spans="2:4">
      <c r="B61" s="5">
        <v>146950</v>
      </c>
      <c r="C61" s="2" t="s">
        <v>119</v>
      </c>
      <c r="D61" s="3" t="s">
        <v>120</v>
      </c>
    </row>
    <row r="62" spans="2:4">
      <c r="B62" s="5">
        <v>148653</v>
      </c>
      <c r="C62" s="2" t="s">
        <v>121</v>
      </c>
      <c r="D62" s="3" t="s">
        <v>122</v>
      </c>
    </row>
    <row r="63" spans="2:4">
      <c r="B63" s="5">
        <v>100354</v>
      </c>
      <c r="C63" s="2" t="s">
        <v>123</v>
      </c>
      <c r="D63" s="3" t="s">
        <v>124</v>
      </c>
    </row>
    <row r="64" spans="2:4">
      <c r="B64" s="5">
        <v>100356</v>
      </c>
      <c r="C64" s="2" t="s">
        <v>125</v>
      </c>
      <c r="D64" s="3" t="s">
        <v>126</v>
      </c>
    </row>
    <row r="65" spans="2:4">
      <c r="B65" s="5">
        <v>148989</v>
      </c>
      <c r="C65" s="2" t="s">
        <v>127</v>
      </c>
      <c r="D65" s="3" t="s">
        <v>128</v>
      </c>
    </row>
    <row r="66" spans="2:4">
      <c r="B66" s="5">
        <v>101802</v>
      </c>
      <c r="C66" s="2" t="s">
        <v>129</v>
      </c>
      <c r="D66" s="4" t="s">
        <v>130</v>
      </c>
    </row>
    <row r="67" spans="2:4">
      <c r="B67" s="5">
        <v>100352</v>
      </c>
      <c r="C67" s="2" t="s">
        <v>131</v>
      </c>
      <c r="D67" s="3" t="s">
        <v>132</v>
      </c>
    </row>
    <row r="68" spans="2:4">
      <c r="B68" s="5">
        <v>111957</v>
      </c>
      <c r="C68" s="2" t="s">
        <v>133</v>
      </c>
      <c r="D68" s="3" t="s">
        <v>134</v>
      </c>
    </row>
    <row r="69" spans="2:4">
      <c r="B69" s="5">
        <v>150308</v>
      </c>
      <c r="C69" s="2" t="s">
        <v>135</v>
      </c>
      <c r="D69" s="3" t="s">
        <v>136</v>
      </c>
    </row>
    <row r="70" spans="2:4">
      <c r="B70" s="5">
        <v>145896</v>
      </c>
      <c r="C70" s="2" t="s">
        <v>137</v>
      </c>
      <c r="D70" s="3" t="s">
        <v>138</v>
      </c>
    </row>
    <row r="71" spans="2:4">
      <c r="B71" s="5">
        <v>145897</v>
      </c>
      <c r="C71" s="2" t="s">
        <v>139</v>
      </c>
      <c r="D71" s="4" t="s">
        <v>140</v>
      </c>
    </row>
    <row r="72" spans="2:4">
      <c r="B72" s="5">
        <v>151579</v>
      </c>
      <c r="C72" s="2" t="s">
        <v>141</v>
      </c>
      <c r="D72" s="3" t="s">
        <v>142</v>
      </c>
    </row>
    <row r="73" spans="2:4">
      <c r="B73" s="5">
        <v>100349</v>
      </c>
      <c r="C73" s="2" t="s">
        <v>143</v>
      </c>
      <c r="D73" s="3" t="s">
        <v>144</v>
      </c>
    </row>
    <row r="74" spans="2:4">
      <c r="B74" s="5">
        <v>103340</v>
      </c>
      <c r="C74" s="2" t="s">
        <v>145</v>
      </c>
      <c r="D74" s="4" t="s">
        <v>146</v>
      </c>
    </row>
    <row r="75" spans="2:4">
      <c r="B75" s="5">
        <v>145077</v>
      </c>
      <c r="C75" s="2" t="s">
        <v>147</v>
      </c>
      <c r="D75" s="3" t="s">
        <v>148</v>
      </c>
    </row>
    <row r="76" spans="2:4">
      <c r="B76" s="5">
        <v>102528</v>
      </c>
      <c r="C76" s="2" t="s">
        <v>149</v>
      </c>
      <c r="D76" s="3" t="s">
        <v>150</v>
      </c>
    </row>
    <row r="77" spans="2:4">
      <c r="B77" s="5">
        <v>147345</v>
      </c>
      <c r="C77" s="2" t="s">
        <v>151</v>
      </c>
      <c r="D77" s="3" t="s">
        <v>152</v>
      </c>
    </row>
    <row r="78" spans="2:4">
      <c r="B78" s="5">
        <v>101144</v>
      </c>
      <c r="C78" s="2" t="s">
        <v>153</v>
      </c>
      <c r="D78" s="3" t="s">
        <v>154</v>
      </c>
    </row>
    <row r="79" spans="2:4">
      <c r="B79" s="5">
        <v>101228</v>
      </c>
      <c r="C79" s="2" t="s">
        <v>155</v>
      </c>
      <c r="D79" s="3" t="s">
        <v>156</v>
      </c>
    </row>
    <row r="80" spans="2:4">
      <c r="B80" s="5">
        <v>149439</v>
      </c>
      <c r="C80" s="2" t="s">
        <v>157</v>
      </c>
      <c r="D80" s="3" t="s">
        <v>158</v>
      </c>
    </row>
    <row r="81" spans="2:4">
      <c r="B81" s="5">
        <v>143873</v>
      </c>
      <c r="C81" s="2" t="s">
        <v>159</v>
      </c>
      <c r="D81" s="3" t="s">
        <v>160</v>
      </c>
    </row>
    <row r="82" spans="2:4">
      <c r="B82" s="5">
        <v>150538</v>
      </c>
      <c r="C82" s="2" t="s">
        <v>161</v>
      </c>
      <c r="D82" s="3" t="s">
        <v>162</v>
      </c>
    </row>
    <row r="83" spans="2:4">
      <c r="B83" s="5">
        <v>115833</v>
      </c>
      <c r="C83" s="2" t="s">
        <v>163</v>
      </c>
      <c r="D83" s="4" t="s">
        <v>164</v>
      </c>
    </row>
    <row r="84" spans="2:4">
      <c r="B84" s="5">
        <v>102330</v>
      </c>
      <c r="C84" s="2" t="s">
        <v>165</v>
      </c>
      <c r="D84" s="4" t="s">
        <v>166</v>
      </c>
    </row>
    <row r="85" spans="2:4">
      <c r="B85">
        <v>101619</v>
      </c>
      <c r="C85" s="2" t="s">
        <v>167</v>
      </c>
      <c r="D85" s="4" t="s">
        <v>168</v>
      </c>
    </row>
    <row r="86" spans="2:4">
      <c r="B86" s="5">
        <v>106823</v>
      </c>
      <c r="C86" s="2" t="s">
        <v>169</v>
      </c>
      <c r="D86" s="3" t="s">
        <v>170</v>
      </c>
    </row>
    <row r="87" spans="2:4">
      <c r="B87" s="5">
        <v>100363</v>
      </c>
      <c r="C87" s="2" t="s">
        <v>171</v>
      </c>
      <c r="D87" s="3" t="s">
        <v>172</v>
      </c>
    </row>
    <row r="88" spans="2:4">
      <c r="B88" s="5">
        <v>102135</v>
      </c>
      <c r="C88" s="2" t="s">
        <v>173</v>
      </c>
      <c r="D88" s="3" t="s">
        <v>174</v>
      </c>
    </row>
    <row r="89" spans="2:4">
      <c r="B89" s="5">
        <v>150684</v>
      </c>
      <c r="C89" s="2" t="s">
        <v>175</v>
      </c>
      <c r="D89" s="3" t="s">
        <v>176</v>
      </c>
    </row>
    <row r="90" spans="2:4">
      <c r="B90" s="5">
        <v>115092</v>
      </c>
      <c r="C90" s="2" t="s">
        <v>177</v>
      </c>
      <c r="D90" s="4" t="s">
        <v>178</v>
      </c>
    </row>
    <row r="91" spans="2:4">
      <c r="B91" s="5">
        <v>100221</v>
      </c>
      <c r="C91" s="2" t="s">
        <v>179</v>
      </c>
      <c r="D91" s="3" t="s">
        <v>180</v>
      </c>
    </row>
    <row r="92" spans="2:4">
      <c r="B92" s="5">
        <v>100234</v>
      </c>
      <c r="C92" s="2" t="s">
        <v>181</v>
      </c>
      <c r="D92" s="4" t="s">
        <v>182</v>
      </c>
    </row>
    <row r="93" spans="2:4">
      <c r="B93" s="5">
        <v>152612</v>
      </c>
      <c r="C93" s="2" t="s">
        <v>183</v>
      </c>
      <c r="D93" s="3" t="s">
        <v>184</v>
      </c>
    </row>
    <row r="94" spans="2:4">
      <c r="B94" s="5">
        <v>151381</v>
      </c>
      <c r="C94" s="2" t="s">
        <v>185</v>
      </c>
      <c r="D94" s="3" t="s">
        <v>186</v>
      </c>
    </row>
    <row r="95" spans="2:4">
      <c r="B95" s="5">
        <v>105968</v>
      </c>
      <c r="C95" s="2" t="s">
        <v>187</v>
      </c>
      <c r="D95" s="3" t="s">
        <v>188</v>
      </c>
    </row>
    <row r="96" spans="2:4">
      <c r="B96" s="5">
        <v>147477</v>
      </c>
      <c r="C96" s="2" t="s">
        <v>189</v>
      </c>
      <c r="D96" s="3" t="s">
        <v>190</v>
      </c>
    </row>
    <row r="97" spans="2:4">
      <c r="B97" s="5">
        <v>149841</v>
      </c>
      <c r="C97" s="2" t="s">
        <v>191</v>
      </c>
      <c r="D97" s="4" t="s">
        <v>192</v>
      </c>
    </row>
    <row r="98" spans="2:4">
      <c r="B98" s="5">
        <v>149840</v>
      </c>
      <c r="C98" s="2" t="s">
        <v>193</v>
      </c>
      <c r="D98" s="3" t="s">
        <v>194</v>
      </c>
    </row>
    <row r="99" spans="2:4">
      <c r="B99">
        <v>149182</v>
      </c>
      <c r="C99" s="2" t="s">
        <v>195</v>
      </c>
      <c r="D99" s="3" t="s">
        <v>196</v>
      </c>
    </row>
    <row r="100" spans="2:4">
      <c r="B100" s="5">
        <v>102591</v>
      </c>
      <c r="C100" s="2" t="s">
        <v>197</v>
      </c>
      <c r="D100" s="4" t="s">
        <v>198</v>
      </c>
    </row>
    <row r="101" spans="2:4">
      <c r="B101" s="5">
        <v>102875</v>
      </c>
      <c r="C101" s="2" t="s">
        <v>199</v>
      </c>
      <c r="D101" s="3" t="s">
        <v>200</v>
      </c>
    </row>
    <row r="102" spans="2:4">
      <c r="B102" s="5">
        <v>147447</v>
      </c>
      <c r="C102" s="2" t="s">
        <v>201</v>
      </c>
      <c r="D102" s="3" t="s">
        <v>202</v>
      </c>
    </row>
    <row r="103" spans="2:4">
      <c r="B103" s="5">
        <v>149404</v>
      </c>
      <c r="C103" s="2" t="s">
        <v>203</v>
      </c>
      <c r="D103" s="3" t="s">
        <v>204</v>
      </c>
    </row>
    <row r="104" spans="2:4">
      <c r="B104" s="5">
        <v>148571</v>
      </c>
      <c r="C104" s="2" t="s">
        <v>205</v>
      </c>
      <c r="D104" s="3" t="s">
        <v>206</v>
      </c>
    </row>
    <row r="105" spans="2:4">
      <c r="B105" s="5">
        <v>140620</v>
      </c>
      <c r="C105" s="2" t="s">
        <v>207</v>
      </c>
      <c r="D105" s="4" t="s">
        <v>208</v>
      </c>
    </row>
    <row r="106" spans="2:4">
      <c r="B106">
        <v>152441</v>
      </c>
      <c r="C106" s="2" t="s">
        <v>209</v>
      </c>
      <c r="D106" s="3" t="s">
        <v>210</v>
      </c>
    </row>
    <row r="107" spans="2:4">
      <c r="B107" s="5">
        <v>147734</v>
      </c>
      <c r="C107" s="2" t="s">
        <v>211</v>
      </c>
      <c r="D107" s="4" t="s">
        <v>212</v>
      </c>
    </row>
    <row r="108" spans="2:4">
      <c r="B108" s="5">
        <v>148459</v>
      </c>
      <c r="C108" s="2" t="s">
        <v>213</v>
      </c>
      <c r="D108" s="4" t="s">
        <v>214</v>
      </c>
    </row>
    <row r="109" spans="2:4">
      <c r="B109" s="5">
        <v>148959</v>
      </c>
      <c r="C109" s="2" t="s">
        <v>215</v>
      </c>
      <c r="D109" s="3" t="s">
        <v>216</v>
      </c>
    </row>
    <row r="110" spans="2:4">
      <c r="B110" s="5">
        <v>147482</v>
      </c>
      <c r="C110" s="2" t="s">
        <v>217</v>
      </c>
      <c r="D110" s="3" t="s">
        <v>218</v>
      </c>
    </row>
    <row r="111" spans="2:4">
      <c r="B111" s="5">
        <v>122639</v>
      </c>
      <c r="C111" s="2" t="s">
        <v>219</v>
      </c>
      <c r="D111" s="3" t="s">
        <v>220</v>
      </c>
    </row>
    <row r="112" spans="2:4">
      <c r="B112" s="5">
        <v>122640</v>
      </c>
      <c r="C112" s="2" t="s">
        <v>221</v>
      </c>
      <c r="D112" s="3" t="s">
        <v>222</v>
      </c>
    </row>
    <row r="113" spans="2:4">
      <c r="B113" s="5">
        <v>143260</v>
      </c>
      <c r="C113" s="2" t="s">
        <v>223</v>
      </c>
      <c r="D113" s="4" t="s">
        <v>224</v>
      </c>
    </row>
    <row r="114" spans="2:4">
      <c r="B114" s="5">
        <v>143260</v>
      </c>
      <c r="C114" s="2" t="s">
        <v>223</v>
      </c>
      <c r="D114" s="4" t="s">
        <v>225</v>
      </c>
    </row>
    <row r="115" spans="2:4">
      <c r="B115" s="5">
        <v>152383</v>
      </c>
      <c r="C115" s="2" t="s">
        <v>226</v>
      </c>
      <c r="D115" s="3" t="s">
        <v>227</v>
      </c>
    </row>
    <row r="116" spans="2:4">
      <c r="B116" s="5">
        <v>125305</v>
      </c>
      <c r="C116" s="2" t="s">
        <v>228</v>
      </c>
      <c r="D116" s="3" t="s">
        <v>229</v>
      </c>
    </row>
    <row r="117" spans="2:4">
      <c r="B117" s="5">
        <v>149020</v>
      </c>
      <c r="C117" s="2" t="s">
        <v>230</v>
      </c>
      <c r="D117" s="3" t="s">
        <v>231</v>
      </c>
    </row>
    <row r="118" spans="2:4">
      <c r="B118" s="5">
        <v>101070</v>
      </c>
      <c r="C118" s="2" t="s">
        <v>232</v>
      </c>
      <c r="D118" s="3" t="s">
        <v>233</v>
      </c>
    </row>
    <row r="119" spans="2:4">
      <c r="B119" s="5">
        <v>151714</v>
      </c>
      <c r="C119" s="2" t="s">
        <v>234</v>
      </c>
      <c r="D119" s="3" t="s">
        <v>235</v>
      </c>
    </row>
    <row r="120" spans="2:4">
      <c r="B120" s="5">
        <v>103225</v>
      </c>
      <c r="C120" s="2" t="s">
        <v>236</v>
      </c>
      <c r="D120" s="4" t="s">
        <v>237</v>
      </c>
    </row>
    <row r="121" spans="2:4">
      <c r="B121" s="5">
        <v>101065</v>
      </c>
      <c r="C121" s="2" t="s">
        <v>238</v>
      </c>
      <c r="D121" s="3" t="s">
        <v>239</v>
      </c>
    </row>
    <row r="122" spans="2:4">
      <c r="B122" s="5">
        <v>101072</v>
      </c>
      <c r="C122" s="2" t="s">
        <v>240</v>
      </c>
      <c r="D122" s="1" t="s">
        <v>241</v>
      </c>
    </row>
    <row r="123" spans="2:4">
      <c r="B123" s="5">
        <v>100177</v>
      </c>
      <c r="C123" s="2" t="s">
        <v>242</v>
      </c>
      <c r="D123" s="3" t="s">
        <v>243</v>
      </c>
    </row>
    <row r="124" spans="2:4">
      <c r="B124" s="5">
        <v>133858</v>
      </c>
      <c r="C124" s="2" t="s">
        <v>244</v>
      </c>
      <c r="D124" s="3" t="s">
        <v>245</v>
      </c>
    </row>
    <row r="125" spans="2:4">
      <c r="B125" s="5">
        <v>152418</v>
      </c>
      <c r="C125" s="2" t="s">
        <v>246</v>
      </c>
      <c r="D125" s="3" t="s">
        <v>247</v>
      </c>
    </row>
    <row r="126" spans="2:4">
      <c r="B126" s="5">
        <v>102765</v>
      </c>
      <c r="C126" s="2" t="s">
        <v>248</v>
      </c>
      <c r="D126" s="3" t="s">
        <v>249</v>
      </c>
    </row>
    <row r="127" spans="2:4">
      <c r="B127" s="5">
        <v>103024</v>
      </c>
      <c r="C127" s="2" t="s">
        <v>250</v>
      </c>
      <c r="D127" s="3" t="s">
        <v>251</v>
      </c>
    </row>
    <row r="128" spans="2:4">
      <c r="B128" s="5">
        <v>125494</v>
      </c>
      <c r="C128" s="2" t="s">
        <v>252</v>
      </c>
      <c r="D128" s="3" t="s">
        <v>253</v>
      </c>
    </row>
    <row r="129" spans="2:4">
      <c r="B129" s="5">
        <v>120577</v>
      </c>
      <c r="C129" s="2" t="s">
        <v>254</v>
      </c>
      <c r="D129" s="3" t="s">
        <v>255</v>
      </c>
    </row>
    <row r="130" spans="2:4">
      <c r="B130" s="5">
        <v>102328</v>
      </c>
      <c r="C130" s="2" t="s">
        <v>256</v>
      </c>
      <c r="D130" s="1" t="s">
        <v>257</v>
      </c>
    </row>
    <row r="131" spans="2:4">
      <c r="B131">
        <v>148050</v>
      </c>
      <c r="C131" s="2" t="s">
        <v>258</v>
      </c>
      <c r="D131" s="1" t="s">
        <v>259</v>
      </c>
    </row>
    <row r="132" spans="2:4">
      <c r="B132" s="5">
        <v>145208</v>
      </c>
      <c r="C132" s="2" t="s">
        <v>260</v>
      </c>
      <c r="D132" s="3" t="s">
        <v>261</v>
      </c>
    </row>
    <row r="133" spans="2:4">
      <c r="B133" s="5">
        <v>146070</v>
      </c>
      <c r="C133" s="2" t="s">
        <v>262</v>
      </c>
      <c r="D133" s="4" t="s">
        <v>263</v>
      </c>
    </row>
    <row r="134" spans="2:4">
      <c r="B134" s="5">
        <v>142035</v>
      </c>
      <c r="C134" s="2" t="s">
        <v>264</v>
      </c>
      <c r="D134" s="3" t="s">
        <v>265</v>
      </c>
    </row>
    <row r="135" spans="2:4">
      <c r="B135" s="5">
        <v>151903</v>
      </c>
      <c r="C135" s="2" t="s">
        <v>266</v>
      </c>
      <c r="D135" s="3" t="s">
        <v>267</v>
      </c>
    </row>
    <row r="136" spans="2:4">
      <c r="B136" s="5">
        <v>147748</v>
      </c>
      <c r="C136" s="2" t="s">
        <v>268</v>
      </c>
      <c r="D136" s="3" t="s">
        <v>269</v>
      </c>
    </row>
    <row r="137" spans="2:4">
      <c r="B137" s="5">
        <v>149116</v>
      </c>
      <c r="C137" s="2" t="s">
        <v>270</v>
      </c>
      <c r="D137" s="4" t="s">
        <v>271</v>
      </c>
    </row>
    <row r="138" spans="2:4">
      <c r="B138" s="5">
        <v>129647</v>
      </c>
      <c r="C138" s="2" t="s">
        <v>272</v>
      </c>
      <c r="D138" s="3" t="s">
        <v>273</v>
      </c>
    </row>
    <row r="139" spans="2:4">
      <c r="B139" s="5">
        <v>145471</v>
      </c>
      <c r="C139" s="2" t="s">
        <v>274</v>
      </c>
      <c r="D139" s="3" t="s">
        <v>275</v>
      </c>
    </row>
    <row r="140" spans="2:4">
      <c r="B140" s="5">
        <v>104075</v>
      </c>
      <c r="C140" s="2" t="s">
        <v>276</v>
      </c>
      <c r="D140" s="3" t="s">
        <v>277</v>
      </c>
    </row>
    <row r="141" spans="2:4">
      <c r="B141" s="5">
        <v>100668</v>
      </c>
      <c r="C141" s="2" t="s">
        <v>278</v>
      </c>
      <c r="D141" s="3" t="s">
        <v>279</v>
      </c>
    </row>
    <row r="142" spans="2:4">
      <c r="B142" s="5">
        <v>102012</v>
      </c>
      <c r="C142" s="2" t="s">
        <v>280</v>
      </c>
      <c r="D142" s="4" t="s">
        <v>281</v>
      </c>
    </row>
    <row r="143" spans="2:4">
      <c r="B143" s="5">
        <v>111599</v>
      </c>
      <c r="C143" s="2" t="s">
        <v>282</v>
      </c>
      <c r="D143" s="3" t="s">
        <v>283</v>
      </c>
    </row>
    <row r="144" spans="2:4">
      <c r="B144" s="5">
        <v>102532</v>
      </c>
      <c r="C144" s="2" t="s">
        <v>284</v>
      </c>
      <c r="D144" s="4" t="s">
        <v>285</v>
      </c>
    </row>
    <row r="145" spans="2:4">
      <c r="B145" s="5">
        <v>152850</v>
      </c>
      <c r="C145" s="2" t="s">
        <v>286</v>
      </c>
      <c r="D145" s="3" t="s">
        <v>287</v>
      </c>
    </row>
    <row r="146" spans="2:4">
      <c r="B146" s="5">
        <v>152133</v>
      </c>
      <c r="C146" s="2" t="s">
        <v>288</v>
      </c>
      <c r="D146" s="3" t="s">
        <v>289</v>
      </c>
    </row>
    <row r="147" spans="2:4">
      <c r="B147" s="5">
        <v>152322</v>
      </c>
      <c r="C147" s="2" t="s">
        <v>290</v>
      </c>
      <c r="D147" s="3" t="s">
        <v>291</v>
      </c>
    </row>
    <row r="148" spans="2:4">
      <c r="B148" s="5">
        <v>150589</v>
      </c>
      <c r="C148" s="2" t="s">
        <v>292</v>
      </c>
      <c r="D148" s="3" t="s">
        <v>293</v>
      </c>
    </row>
    <row r="149" spans="2:4">
      <c r="B149" s="5">
        <v>150346</v>
      </c>
      <c r="C149" s="2" t="s">
        <v>294</v>
      </c>
      <c r="D149" s="3" t="s">
        <v>295</v>
      </c>
    </row>
    <row r="150" spans="2:4">
      <c r="B150" s="5">
        <v>152225</v>
      </c>
      <c r="C150" s="2" t="s">
        <v>296</v>
      </c>
      <c r="D150" s="3" t="s">
        <v>297</v>
      </c>
    </row>
    <row r="151" spans="2:4">
      <c r="B151" s="5">
        <v>145968</v>
      </c>
      <c r="C151" s="2" t="s">
        <v>298</v>
      </c>
      <c r="D151" s="4" t="s">
        <v>299</v>
      </c>
    </row>
    <row r="152" spans="2:4">
      <c r="B152" s="5">
        <v>150583</v>
      </c>
      <c r="C152" s="2" t="s">
        <v>300</v>
      </c>
      <c r="D152" s="3" t="s">
        <v>301</v>
      </c>
    </row>
    <row r="153" spans="2:4">
      <c r="B153">
        <v>151746</v>
      </c>
      <c r="C153" s="2" t="s">
        <v>302</v>
      </c>
      <c r="D153" s="3" t="s">
        <v>303</v>
      </c>
    </row>
    <row r="154" spans="2:4">
      <c r="B154" s="5">
        <v>147307</v>
      </c>
      <c r="C154" s="2" t="s">
        <v>304</v>
      </c>
      <c r="D154" s="4" t="s">
        <v>305</v>
      </c>
    </row>
    <row r="155" spans="2:4">
      <c r="B155" s="5">
        <v>103131</v>
      </c>
      <c r="C155" s="2" t="s">
        <v>306</v>
      </c>
      <c r="D155" s="1" t="s">
        <v>307</v>
      </c>
    </row>
    <row r="156" spans="2:4">
      <c r="B156" s="5">
        <v>152361</v>
      </c>
      <c r="C156" s="2" t="s">
        <v>308</v>
      </c>
      <c r="D156" s="1" t="s">
        <v>309</v>
      </c>
    </row>
    <row r="157" spans="2:4">
      <c r="B157" s="5">
        <v>130496</v>
      </c>
      <c r="C157" s="2" t="s">
        <v>310</v>
      </c>
      <c r="D157" s="4" t="s">
        <v>311</v>
      </c>
    </row>
    <row r="158" spans="2:4">
      <c r="B158" s="5">
        <v>112214</v>
      </c>
      <c r="C158" s="2" t="s">
        <v>34</v>
      </c>
      <c r="D158" s="3" t="s">
        <v>312</v>
      </c>
    </row>
    <row r="159" spans="2:4">
      <c r="B159" s="5">
        <v>141927</v>
      </c>
      <c r="C159" s="2" t="s">
        <v>313</v>
      </c>
      <c r="D159" s="3" t="s">
        <v>314</v>
      </c>
    </row>
    <row r="160" spans="2:4">
      <c r="B160" s="5">
        <v>119646</v>
      </c>
      <c r="C160" s="2" t="s">
        <v>315</v>
      </c>
      <c r="D160" s="3" t="s">
        <v>316</v>
      </c>
    </row>
    <row r="161" spans="2:4">
      <c r="B161" s="5">
        <v>118278</v>
      </c>
      <c r="C161" s="2" t="s">
        <v>317</v>
      </c>
      <c r="D161" s="3" t="s">
        <v>318</v>
      </c>
    </row>
    <row r="162" spans="2:4">
      <c r="B162" s="5">
        <v>117560</v>
      </c>
      <c r="C162" s="2" t="s">
        <v>319</v>
      </c>
      <c r="D162" s="3" t="s">
        <v>320</v>
      </c>
    </row>
    <row r="163" spans="2:4">
      <c r="B163" s="5">
        <v>147929</v>
      </c>
      <c r="C163" s="2" t="s">
        <v>321</v>
      </c>
      <c r="D163" s="3" t="s">
        <v>322</v>
      </c>
    </row>
    <row r="164" spans="2:4">
      <c r="B164" s="5">
        <v>112210</v>
      </c>
      <c r="C164" s="2" t="s">
        <v>323</v>
      </c>
      <c r="D164" s="3" t="s">
        <v>324</v>
      </c>
    </row>
    <row r="165" spans="2:4">
      <c r="B165" s="5">
        <v>147568</v>
      </c>
      <c r="C165" s="2" t="s">
        <v>325</v>
      </c>
      <c r="D165" s="3" t="s">
        <v>326</v>
      </c>
    </row>
    <row r="166" spans="2:4">
      <c r="B166" s="5">
        <v>115676</v>
      </c>
      <c r="C166" s="2" t="s">
        <v>327</v>
      </c>
      <c r="D166" s="3" t="s">
        <v>328</v>
      </c>
    </row>
    <row r="167" spans="2:4">
      <c r="B167" s="5">
        <v>101758</v>
      </c>
      <c r="C167" s="2" t="s">
        <v>329</v>
      </c>
      <c r="D167" s="3" t="s">
        <v>330</v>
      </c>
    </row>
    <row r="168" spans="2:4">
      <c r="B168" s="5">
        <v>102141</v>
      </c>
      <c r="C168" s="2" t="s">
        <v>331</v>
      </c>
      <c r="D168" s="3" t="s">
        <v>332</v>
      </c>
    </row>
    <row r="169" spans="2:4">
      <c r="B169" s="5">
        <v>115068</v>
      </c>
      <c r="C169" s="2" t="s">
        <v>10</v>
      </c>
      <c r="D169" s="3" t="s">
        <v>333</v>
      </c>
    </row>
    <row r="170" spans="2:4">
      <c r="B170" s="5">
        <v>120576</v>
      </c>
      <c r="C170" s="2" t="s">
        <v>334</v>
      </c>
      <c r="D170" s="3" t="s">
        <v>335</v>
      </c>
    </row>
    <row r="171" spans="2:4">
      <c r="B171" s="5">
        <v>102503</v>
      </c>
      <c r="C171" s="2" t="s">
        <v>336</v>
      </c>
      <c r="D171" s="3" t="s">
        <v>337</v>
      </c>
    </row>
    <row r="172" spans="2:4">
      <c r="B172" s="5">
        <v>134644</v>
      </c>
      <c r="C172" s="2" t="s">
        <v>338</v>
      </c>
      <c r="D172" s="3" t="s">
        <v>339</v>
      </c>
    </row>
    <row r="173" spans="2:4">
      <c r="B173" s="5">
        <v>116894</v>
      </c>
      <c r="C173" s="2" t="s">
        <v>340</v>
      </c>
      <c r="D173" s="3" t="s">
        <v>341</v>
      </c>
    </row>
    <row r="174" spans="2:4">
      <c r="B174">
        <v>152182</v>
      </c>
      <c r="C174" s="2" t="s">
        <v>342</v>
      </c>
      <c r="D174" s="3" t="s">
        <v>343</v>
      </c>
    </row>
    <row r="175" spans="2:4">
      <c r="B175" s="5">
        <v>112293</v>
      </c>
      <c r="C175" s="2" t="s">
        <v>344</v>
      </c>
      <c r="D175" s="3" t="s">
        <v>345</v>
      </c>
    </row>
    <row r="176" spans="2:4">
      <c r="B176" s="5">
        <v>102053</v>
      </c>
      <c r="C176" s="2" t="s">
        <v>346</v>
      </c>
      <c r="D176" s="3" t="s">
        <v>347</v>
      </c>
    </row>
    <row r="177" spans="2:4">
      <c r="B177" s="5">
        <v>133836</v>
      </c>
      <c r="C177" s="2" t="s">
        <v>348</v>
      </c>
      <c r="D177" s="3" t="s">
        <v>349</v>
      </c>
    </row>
    <row r="178" spans="2:4">
      <c r="B178" s="5">
        <v>138343</v>
      </c>
      <c r="C178" s="2" t="s">
        <v>350</v>
      </c>
      <c r="D178" s="3" t="s">
        <v>351</v>
      </c>
    </row>
    <row r="179" spans="2:4">
      <c r="B179" s="5">
        <v>100473</v>
      </c>
      <c r="C179" s="2" t="s">
        <v>352</v>
      </c>
      <c r="D179" s="3" t="s">
        <v>353</v>
      </c>
    </row>
    <row r="180" spans="2:4">
      <c r="B180" s="5">
        <v>103633</v>
      </c>
      <c r="C180" s="2" t="s">
        <v>354</v>
      </c>
      <c r="D180" s="3" t="s">
        <v>355</v>
      </c>
    </row>
    <row r="181" spans="2:4">
      <c r="B181" s="5">
        <v>144393</v>
      </c>
      <c r="C181" s="2" t="s">
        <v>356</v>
      </c>
      <c r="D181" s="3" t="s">
        <v>357</v>
      </c>
    </row>
    <row r="182" spans="2:4">
      <c r="B182" s="5">
        <v>145040</v>
      </c>
      <c r="C182" s="2" t="s">
        <v>358</v>
      </c>
      <c r="D182" s="3" t="s">
        <v>359</v>
      </c>
    </row>
    <row r="183" spans="2:4">
      <c r="B183" s="5">
        <v>138523</v>
      </c>
      <c r="C183" s="2" t="s">
        <v>360</v>
      </c>
      <c r="D183" s="3" t="s">
        <v>361</v>
      </c>
    </row>
    <row r="184" spans="2:4">
      <c r="B184" s="5">
        <v>149382</v>
      </c>
      <c r="C184" s="2" t="s">
        <v>362</v>
      </c>
      <c r="D184" s="3" t="s">
        <v>363</v>
      </c>
    </row>
    <row r="185" spans="2:4">
      <c r="B185" s="5">
        <v>106231</v>
      </c>
      <c r="C185" s="2" t="s">
        <v>364</v>
      </c>
      <c r="D185" s="3" t="s">
        <v>365</v>
      </c>
    </row>
    <row r="186" spans="2:4">
      <c r="B186" s="5">
        <v>149088</v>
      </c>
      <c r="C186" s="2" t="s">
        <v>366</v>
      </c>
      <c r="D186" s="3" t="s">
        <v>367</v>
      </c>
    </row>
    <row r="187" spans="2:4">
      <c r="B187" s="5">
        <v>138288</v>
      </c>
      <c r="C187" s="2" t="s">
        <v>368</v>
      </c>
      <c r="D187" s="3" t="s">
        <v>369</v>
      </c>
    </row>
    <row r="188" spans="2:4">
      <c r="B188" s="5">
        <v>112342</v>
      </c>
      <c r="C188" s="2" t="s">
        <v>370</v>
      </c>
      <c r="D188" s="3" t="s">
        <v>371</v>
      </c>
    </row>
    <row r="189" spans="2:4">
      <c r="B189" s="5">
        <v>104513</v>
      </c>
      <c r="C189" s="2" t="s">
        <v>372</v>
      </c>
      <c r="D189" s="3" t="s">
        <v>373</v>
      </c>
    </row>
    <row r="190" spans="2:4">
      <c r="B190" s="5">
        <v>150929</v>
      </c>
      <c r="C190" s="2" t="s">
        <v>374</v>
      </c>
      <c r="D190" s="3" t="s">
        <v>375</v>
      </c>
    </row>
    <row r="191" spans="2:4">
      <c r="B191" s="5">
        <v>151235</v>
      </c>
      <c r="C191" s="2" t="s">
        <v>258</v>
      </c>
      <c r="D191" s="3" t="s">
        <v>376</v>
      </c>
    </row>
    <row r="192" spans="2:4">
      <c r="B192" s="5">
        <v>148071</v>
      </c>
      <c r="C192" s="2" t="s">
        <v>377</v>
      </c>
      <c r="D192" s="3" t="s">
        <v>378</v>
      </c>
    </row>
    <row r="193" spans="2:4">
      <c r="B193" s="5">
        <v>149068</v>
      </c>
      <c r="C193" s="2" t="s">
        <v>379</v>
      </c>
      <c r="D193" s="3" t="s">
        <v>380</v>
      </c>
    </row>
    <row r="194" spans="2:4">
      <c r="B194" s="5">
        <v>105968</v>
      </c>
      <c r="C194" s="2" t="s">
        <v>187</v>
      </c>
      <c r="D194" s="3" t="s">
        <v>381</v>
      </c>
    </row>
    <row r="195" spans="2:4">
      <c r="B195" s="5">
        <v>147477</v>
      </c>
      <c r="C195" s="2" t="s">
        <v>189</v>
      </c>
      <c r="D195" s="3" t="s">
        <v>382</v>
      </c>
    </row>
    <row r="196" spans="2:4">
      <c r="B196" s="5">
        <v>103819</v>
      </c>
      <c r="C196" s="2" t="s">
        <v>383</v>
      </c>
      <c r="D196" s="1" t="s">
        <v>384</v>
      </c>
    </row>
    <row r="197" spans="2:4">
      <c r="B197" s="5">
        <v>152786</v>
      </c>
      <c r="C197" s="2" t="s">
        <v>385</v>
      </c>
      <c r="D197" s="3" t="s">
        <v>386</v>
      </c>
    </row>
    <row r="198" spans="2:4">
      <c r="B198" s="5">
        <v>150715</v>
      </c>
      <c r="C198" s="2" t="e">
        <f>_xlfn.XLOOKUP(Table1[[#This Row],[AMFI]],[1]!Table2[Code],[1]!Table2[ISIN Div Payout/ ISIN GrowthISIN Div Reinvestment],,0)</f>
        <v>#REF!</v>
      </c>
      <c r="D198" s="3" t="s">
        <v>390</v>
      </c>
    </row>
    <row r="199" spans="2:4">
      <c r="B199" s="5">
        <v>152182</v>
      </c>
      <c r="C199" s="2" t="e">
        <f>_xlfn.XLOOKUP(Table1[[#This Row],[AMFI]],[1]!Table2[Code],[1]!Table2[ISIN Div Payout/ ISIN GrowthISIN Div Reinvestment],,0)</f>
        <v>#REF!</v>
      </c>
      <c r="D199" s="1" t="s">
        <v>391</v>
      </c>
    </row>
    <row r="200" spans="2:4">
      <c r="B200" s="5">
        <v>114616</v>
      </c>
      <c r="C200" s="2" t="e">
        <f>_xlfn.XLOOKUP(Table1[[#This Row],[AMFI]],[1]!Table2[Code],[1]!Table2[ISIN Div Payout/ ISIN GrowthISIN Div Reinvestment],,0)</f>
        <v>#REF!</v>
      </c>
      <c r="D200" s="1" t="s">
        <v>392</v>
      </c>
    </row>
    <row r="201" spans="2:4">
      <c r="B201" s="5">
        <v>102756</v>
      </c>
      <c r="C201" s="2" t="e">
        <f>_xlfn.XLOOKUP(Table1[[#This Row],[AMFI]],[1]!Table2[Code],[1]!Table2[ISIN Div Payout/ ISIN GrowthISIN Div Reinvestment],,0)</f>
        <v>#REF!</v>
      </c>
      <c r="D201" s="1" t="s">
        <v>393</v>
      </c>
    </row>
    <row r="202" spans="2:4">
      <c r="B202" s="5">
        <v>151882</v>
      </c>
      <c r="C202" s="2" t="e">
        <f>_xlfn.XLOOKUP(Table1[[#This Row],[AMFI]],[1]!Table2[Code],[1]!Table2[ISIN Div Payout/ ISIN GrowthISIN Div Reinvestment],,0)</f>
        <v>#REF!</v>
      </c>
      <c r="D202" s="1" t="s">
        <v>394</v>
      </c>
    </row>
    <row r="203" spans="2:4">
      <c r="B203" s="5">
        <v>102948</v>
      </c>
      <c r="C203" s="2" t="e">
        <f>_xlfn.XLOOKUP(Table1[[#This Row],[AMFI]],[1]!Table2[Code],[1]!Table2[ISIN Div Payout/ ISIN GrowthISIN Div Reinvestment],,0)</f>
        <v>#REF!</v>
      </c>
      <c r="D203" s="1" t="s">
        <v>395</v>
      </c>
    </row>
    <row r="204" spans="2:4">
      <c r="B204" s="5">
        <v>153909</v>
      </c>
      <c r="C204" s="2" t="s">
        <v>401</v>
      </c>
      <c r="D204" s="1" t="s">
        <v>396</v>
      </c>
    </row>
    <row r="205" spans="2:4">
      <c r="B205" s="5">
        <v>152072</v>
      </c>
      <c r="C205" s="2" t="e">
        <f>_xlfn.XLOOKUP(Table1[[#This Row],[AMFI]],[1]!Table2[Code],[1]!Table2[ISIN Div Payout/ ISIN GrowthISIN Div Reinvestment],,0)</f>
        <v>#REF!</v>
      </c>
      <c r="D205" s="1" t="s">
        <v>397</v>
      </c>
    </row>
    <row r="206" spans="2:4">
      <c r="B206" s="5">
        <v>152053</v>
      </c>
      <c r="C206" s="2" t="e">
        <f>_xlfn.XLOOKUP(Table1[[#This Row],[AMFI]],[1]!Table2[Code],[1]!Table2[ISIN Div Payout/ ISIN GrowthISIN Div Reinvestment],,0)</f>
        <v>#REF!</v>
      </c>
      <c r="D206" s="1" t="s">
        <v>398</v>
      </c>
    </row>
    <row r="207" spans="2:4">
      <c r="B207" s="5">
        <v>142282</v>
      </c>
      <c r="C207" s="2" t="e">
        <f>_xlfn.XLOOKUP(Table1[[#This Row],[AMFI]],[1]!Table2[Code],[1]!Table2[ISIN Div Payout/ ISIN GrowthISIN Div Reinvestment],,0)</f>
        <v>#REF!</v>
      </c>
      <c r="D207" s="1" t="s">
        <v>399</v>
      </c>
    </row>
  </sheetData>
  <conditionalFormatting sqref="D1:D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E4EF-6D27-417C-AF97-8D6CB94088AD}">
  <dimension ref="G1:I86"/>
  <sheetViews>
    <sheetView workbookViewId="0">
      <selection activeCell="I8" sqref="I8"/>
    </sheetView>
  </sheetViews>
  <sheetFormatPr defaultRowHeight="14.4"/>
  <cols>
    <col min="7" max="7" width="49.44140625" bestFit="1" customWidth="1"/>
    <col min="8" max="8" width="10.5546875" customWidth="1"/>
  </cols>
  <sheetData>
    <row r="1" spans="7:9">
      <c r="G1" t="s">
        <v>389</v>
      </c>
      <c r="H1" t="s">
        <v>400</v>
      </c>
      <c r="I1" t="s">
        <v>387</v>
      </c>
    </row>
    <row r="2" spans="7:9">
      <c r="G2" s="6" t="s">
        <v>390</v>
      </c>
      <c r="H2" s="6">
        <v>150715</v>
      </c>
    </row>
    <row r="3" spans="7:9">
      <c r="G3" s="6" t="s">
        <v>391</v>
      </c>
      <c r="H3" s="6">
        <v>152182</v>
      </c>
    </row>
    <row r="4" spans="7:9">
      <c r="G4" s="6" t="s">
        <v>392</v>
      </c>
      <c r="H4" s="6">
        <v>114616</v>
      </c>
    </row>
    <row r="5" spans="7:9">
      <c r="G5" s="6" t="s">
        <v>393</v>
      </c>
      <c r="H5" s="6">
        <v>102756</v>
      </c>
    </row>
    <row r="6" spans="7:9">
      <c r="G6" s="6" t="s">
        <v>394</v>
      </c>
      <c r="H6" s="6">
        <v>151882</v>
      </c>
    </row>
    <row r="7" spans="7:9">
      <c r="G7" s="6" t="s">
        <v>395</v>
      </c>
      <c r="H7" s="6">
        <v>102948</v>
      </c>
    </row>
    <row r="8" spans="7:9">
      <c r="G8" s="6" t="s">
        <v>396</v>
      </c>
      <c r="H8" s="6">
        <v>153909</v>
      </c>
      <c r="I8" t="s">
        <v>401</v>
      </c>
    </row>
    <row r="9" spans="7:9">
      <c r="G9" s="6" t="s">
        <v>397</v>
      </c>
      <c r="H9" s="6">
        <v>152072</v>
      </c>
    </row>
    <row r="10" spans="7:9">
      <c r="G10" s="6" t="s">
        <v>398</v>
      </c>
      <c r="H10" s="6">
        <v>152053</v>
      </c>
    </row>
    <row r="11" spans="7:9">
      <c r="G11" s="6" t="s">
        <v>399</v>
      </c>
      <c r="H11" s="6">
        <v>142282</v>
      </c>
    </row>
    <row r="12" spans="7:9">
      <c r="G12" t="s">
        <v>110</v>
      </c>
      <c r="H12">
        <f>_xlfn.XLOOKUP(G12,Table1[Fund],Table1[AMFI],,0)</f>
        <v>153327</v>
      </c>
    </row>
    <row r="13" spans="7:9">
      <c r="G13" t="s">
        <v>108</v>
      </c>
      <c r="H13">
        <f>_xlfn.XLOOKUP(G13,Table1[Fund],Table1[AMFI],,0)</f>
        <v>152943</v>
      </c>
    </row>
    <row r="14" spans="7:9">
      <c r="G14" t="s">
        <v>287</v>
      </c>
      <c r="H14">
        <f>_xlfn.XLOOKUP(G14,Table1[Fund],Table1[AMFI],,0)</f>
        <v>152850</v>
      </c>
    </row>
    <row r="15" spans="7:9">
      <c r="G15" t="s">
        <v>386</v>
      </c>
      <c r="H15">
        <f>_xlfn.XLOOKUP(G15,Table1[Fund],Table1[AMFI],,0)</f>
        <v>152786</v>
      </c>
    </row>
    <row r="16" spans="7:9">
      <c r="G16" t="s">
        <v>184</v>
      </c>
      <c r="H16">
        <f>_xlfn.XLOOKUP(G16,Table1[Fund],Table1[AMFI],,0)</f>
        <v>152612</v>
      </c>
    </row>
    <row r="17" spans="7:8">
      <c r="G17" t="s">
        <v>102</v>
      </c>
      <c r="H17">
        <f>_xlfn.XLOOKUP(G17,Table1[Fund],Table1[AMFI],,0)</f>
        <v>152512</v>
      </c>
    </row>
    <row r="18" spans="7:8">
      <c r="G18" t="s">
        <v>210</v>
      </c>
      <c r="H18">
        <f>_xlfn.XLOOKUP(G18,Table1[Fund],Table1[AMFI],,0)</f>
        <v>152441</v>
      </c>
    </row>
    <row r="19" spans="7:8">
      <c r="G19" t="s">
        <v>297</v>
      </c>
      <c r="H19">
        <f>_xlfn.XLOOKUP(G19,Table1[Fund],Table1[AMFI],,0)</f>
        <v>152225</v>
      </c>
    </row>
    <row r="20" spans="7:8">
      <c r="G20" t="s">
        <v>112</v>
      </c>
      <c r="H20">
        <f>_xlfn.XLOOKUP(G20,Table1[Fund],Table1[AMFI],,0)</f>
        <v>152153</v>
      </c>
    </row>
    <row r="21" spans="7:8">
      <c r="G21" t="s">
        <v>106</v>
      </c>
      <c r="H21">
        <f>_xlfn.XLOOKUP(G21,Table1[Fund],Table1[AMFI],,0)</f>
        <v>152136</v>
      </c>
    </row>
    <row r="22" spans="7:8">
      <c r="G22" t="s">
        <v>289</v>
      </c>
      <c r="H22">
        <f>_xlfn.XLOOKUP(G22,Table1[Fund],Table1[AMFI],,0)</f>
        <v>152133</v>
      </c>
    </row>
    <row r="23" spans="7:8">
      <c r="G23" t="s">
        <v>267</v>
      </c>
      <c r="H23">
        <f>_xlfn.XLOOKUP(G23,Table1[Fund],Table1[AMFI],,0)</f>
        <v>151903</v>
      </c>
    </row>
    <row r="24" spans="7:8">
      <c r="G24" t="s">
        <v>303</v>
      </c>
      <c r="H24">
        <f>_xlfn.XLOOKUP(G24,Table1[Fund],Table1[AMFI],,0)</f>
        <v>151746</v>
      </c>
    </row>
    <row r="25" spans="7:8">
      <c r="G25" t="s">
        <v>142</v>
      </c>
      <c r="H25">
        <f>_xlfn.XLOOKUP(G25,Table1[Fund],Table1[AMFI],,0)</f>
        <v>151579</v>
      </c>
    </row>
    <row r="26" spans="7:8">
      <c r="G26" t="s">
        <v>186</v>
      </c>
      <c r="H26">
        <f>_xlfn.XLOOKUP(G26,Table1[Fund],Table1[AMFI],,0)</f>
        <v>151381</v>
      </c>
    </row>
    <row r="27" spans="7:8">
      <c r="G27" t="s">
        <v>176</v>
      </c>
      <c r="H27">
        <f>_xlfn.XLOOKUP(G27,Table1[Fund],Table1[AMFI],,0)</f>
        <v>150684</v>
      </c>
    </row>
    <row r="28" spans="7:8">
      <c r="G28" t="s">
        <v>293</v>
      </c>
      <c r="H28">
        <f>_xlfn.XLOOKUP(G28,Table1[Fund],Table1[AMFI],,0)</f>
        <v>150589</v>
      </c>
    </row>
    <row r="29" spans="7:8">
      <c r="G29" t="s">
        <v>301</v>
      </c>
      <c r="H29">
        <f>_xlfn.XLOOKUP(G29,Table1[Fund],Table1[AMFI],,0)</f>
        <v>150583</v>
      </c>
    </row>
    <row r="30" spans="7:8">
      <c r="G30" t="s">
        <v>81</v>
      </c>
      <c r="H30">
        <f>_xlfn.XLOOKUP(G30,Table1[Fund],Table1[AMFI],,0)</f>
        <v>150382</v>
      </c>
    </row>
    <row r="31" spans="7:8">
      <c r="G31" t="s">
        <v>295</v>
      </c>
      <c r="H31">
        <f>_xlfn.XLOOKUP(G31,Table1[Fund],Table1[AMFI],,0)</f>
        <v>150346</v>
      </c>
    </row>
    <row r="32" spans="7:8">
      <c r="G32" t="s">
        <v>136</v>
      </c>
      <c r="H32">
        <f>_xlfn.XLOOKUP(G32,Table1[Fund],Table1[AMFI],,0)</f>
        <v>150308</v>
      </c>
    </row>
    <row r="33" spans="7:8">
      <c r="G33" t="s">
        <v>194</v>
      </c>
      <c r="H33">
        <f>_xlfn.XLOOKUP(G33,Table1[Fund],Table1[AMFI],,0)</f>
        <v>149840</v>
      </c>
    </row>
    <row r="34" spans="7:8">
      <c r="G34" t="s">
        <v>196</v>
      </c>
      <c r="H34">
        <f>_xlfn.XLOOKUP(G34,Table1[Fund],Table1[AMFI],,0)</f>
        <v>149182</v>
      </c>
    </row>
    <row r="35" spans="7:8">
      <c r="G35" t="s">
        <v>39</v>
      </c>
      <c r="H35">
        <f>_xlfn.XLOOKUP(G35,Table1[Fund],Table1[AMFI],,0)</f>
        <v>149167</v>
      </c>
    </row>
    <row r="36" spans="7:8">
      <c r="G36" t="s">
        <v>231</v>
      </c>
      <c r="H36">
        <f>_xlfn.XLOOKUP(G36,Table1[Fund],Table1[AMFI],,0)</f>
        <v>149020</v>
      </c>
    </row>
    <row r="37" spans="7:8">
      <c r="G37" t="s">
        <v>128</v>
      </c>
      <c r="H37">
        <f>_xlfn.XLOOKUP(G37,Table1[Fund],Table1[AMFI],,0)</f>
        <v>148989</v>
      </c>
    </row>
    <row r="38" spans="7:8">
      <c r="G38" t="s">
        <v>53</v>
      </c>
      <c r="H38">
        <f>_xlfn.XLOOKUP(G38,Table1[Fund],Table1[AMFI],,0)</f>
        <v>148884</v>
      </c>
    </row>
    <row r="39" spans="7:8">
      <c r="G39" t="s">
        <v>206</v>
      </c>
      <c r="H39">
        <f>_xlfn.XLOOKUP(G39,Table1[Fund],Table1[AMFI],,0)</f>
        <v>148571</v>
      </c>
    </row>
    <row r="40" spans="7:8">
      <c r="G40" t="s">
        <v>259</v>
      </c>
      <c r="H40">
        <f>_xlfn.XLOOKUP(G40,Table1[Fund],Table1[AMFI],,0)</f>
        <v>148050</v>
      </c>
    </row>
    <row r="41" spans="7:8">
      <c r="G41" t="s">
        <v>218</v>
      </c>
      <c r="H41">
        <f>_xlfn.XLOOKUP(G41,Table1[Fund],Table1[AMFI],,0)</f>
        <v>147482</v>
      </c>
    </row>
    <row r="42" spans="7:8">
      <c r="G42" t="s">
        <v>382</v>
      </c>
      <c r="H42">
        <f>_xlfn.XLOOKUP(G42,Table1[Fund],Table1[AMFI],,0)</f>
        <v>147477</v>
      </c>
    </row>
    <row r="43" spans="7:8">
      <c r="G43" t="s">
        <v>202</v>
      </c>
      <c r="H43">
        <f>_xlfn.XLOOKUP(G43,Table1[Fund],Table1[AMFI],,0)</f>
        <v>147447</v>
      </c>
    </row>
    <row r="44" spans="7:8">
      <c r="G44" t="s">
        <v>152</v>
      </c>
      <c r="H44">
        <f>_xlfn.XLOOKUP(G44,Table1[Fund],Table1[AMFI],,0)</f>
        <v>147345</v>
      </c>
    </row>
    <row r="45" spans="7:8">
      <c r="G45" t="s">
        <v>65</v>
      </c>
      <c r="H45">
        <f>_xlfn.XLOOKUP(G45,Table1[Fund],Table1[AMFI],,0)</f>
        <v>146127</v>
      </c>
    </row>
    <row r="46" spans="7:8">
      <c r="G46" t="s">
        <v>299</v>
      </c>
      <c r="H46">
        <f>_xlfn.XLOOKUP(G46,Table1[Fund],Table1[AMFI],,0)</f>
        <v>145968</v>
      </c>
    </row>
    <row r="47" spans="7:8">
      <c r="G47" t="s">
        <v>138</v>
      </c>
      <c r="H47">
        <f>_xlfn.XLOOKUP(G47,Table1[Fund],Table1[AMFI],,0)</f>
        <v>145896</v>
      </c>
    </row>
    <row r="48" spans="7:8">
      <c r="G48" t="s">
        <v>275</v>
      </c>
      <c r="H48">
        <f>_xlfn.XLOOKUP(G48,Table1[Fund],Table1[AMFI],,0)</f>
        <v>145471</v>
      </c>
    </row>
    <row r="49" spans="7:8">
      <c r="G49" t="s">
        <v>261</v>
      </c>
      <c r="H49">
        <f>_xlfn.XLOOKUP(G49,Table1[Fund],Table1[AMFI],,0)</f>
        <v>145208</v>
      </c>
    </row>
    <row r="50" spans="7:8">
      <c r="G50" t="s">
        <v>148</v>
      </c>
      <c r="H50">
        <f>_xlfn.XLOOKUP(G50,Table1[Fund],Table1[AMFI],,0)</f>
        <v>145077</v>
      </c>
    </row>
    <row r="51" spans="7:8">
      <c r="G51" t="s">
        <v>160</v>
      </c>
      <c r="H51">
        <f>_xlfn.XLOOKUP(G51,Table1[Fund],Table1[AMFI],,0)</f>
        <v>143873</v>
      </c>
    </row>
    <row r="52" spans="7:8">
      <c r="G52" t="s">
        <v>273</v>
      </c>
      <c r="H52">
        <f>_xlfn.XLOOKUP(G52,Table1[Fund],Table1[AMFI],,0)</f>
        <v>129647</v>
      </c>
    </row>
    <row r="53" spans="7:8">
      <c r="G53" t="s">
        <v>253</v>
      </c>
      <c r="H53">
        <f>_xlfn.XLOOKUP(G53,Table1[Fund],Table1[AMFI],,0)</f>
        <v>125494</v>
      </c>
    </row>
    <row r="54" spans="7:8">
      <c r="G54" t="s">
        <v>229</v>
      </c>
      <c r="H54">
        <f>_xlfn.XLOOKUP(G54,Table1[Fund],Table1[AMFI],,0)</f>
        <v>125305</v>
      </c>
    </row>
    <row r="55" spans="7:8">
      <c r="G55" t="s">
        <v>222</v>
      </c>
      <c r="H55">
        <f>_xlfn.XLOOKUP(G55,Table1[Fund],Table1[AMFI],,0)</f>
        <v>122640</v>
      </c>
    </row>
    <row r="56" spans="7:8">
      <c r="G56" t="s">
        <v>255</v>
      </c>
      <c r="H56">
        <f>_xlfn.XLOOKUP(G56,Table1[Fund],Table1[AMFI],,0)</f>
        <v>120577</v>
      </c>
    </row>
    <row r="57" spans="7:8">
      <c r="G57" t="s">
        <v>15</v>
      </c>
      <c r="H57">
        <f>_xlfn.XLOOKUP(G57,Table1[Fund],Table1[AMFI],,0)</f>
        <v>115897</v>
      </c>
    </row>
    <row r="58" spans="7:8">
      <c r="G58" t="s">
        <v>164</v>
      </c>
      <c r="H58">
        <f>_xlfn.XLOOKUP(G58,Table1[Fund],Table1[AMFI],,0)</f>
        <v>115833</v>
      </c>
    </row>
    <row r="59" spans="7:8">
      <c r="G59" t="s">
        <v>49</v>
      </c>
      <c r="H59">
        <f>_xlfn.XLOOKUP(G59,Table1[Fund],Table1[AMFI],,0)</f>
        <v>112152</v>
      </c>
    </row>
    <row r="60" spans="7:8">
      <c r="G60" t="s">
        <v>73</v>
      </c>
      <c r="H60">
        <f>_xlfn.XLOOKUP(G60,Table1[Fund],Table1[AMFI],,0)</f>
        <v>112108</v>
      </c>
    </row>
    <row r="61" spans="7:8">
      <c r="G61" t="s">
        <v>114</v>
      </c>
      <c r="H61">
        <f>_xlfn.XLOOKUP(G61,Table1[Fund],Table1[AMFI],,0)</f>
        <v>112096</v>
      </c>
    </row>
    <row r="62" spans="7:8">
      <c r="G62" t="s">
        <v>134</v>
      </c>
      <c r="H62">
        <f>_xlfn.XLOOKUP(G62,Table1[Fund],Table1[AMFI],,0)</f>
        <v>111957</v>
      </c>
    </row>
    <row r="63" spans="7:8">
      <c r="G63" t="s">
        <v>283</v>
      </c>
      <c r="H63">
        <f>_xlfn.XLOOKUP(G63,Table1[Fund],Table1[AMFI],,0)</f>
        <v>111599</v>
      </c>
    </row>
    <row r="64" spans="7:8">
      <c r="G64" t="s">
        <v>118</v>
      </c>
      <c r="H64">
        <f>_xlfn.XLOOKUP(G64,Table1[Fund],Table1[AMFI],,0)</f>
        <v>109445</v>
      </c>
    </row>
    <row r="65" spans="7:8">
      <c r="G65" t="s">
        <v>71</v>
      </c>
      <c r="H65">
        <f>_xlfn.XLOOKUP(G65,Table1[Fund],Table1[AMFI],,0)</f>
        <v>108202</v>
      </c>
    </row>
    <row r="66" spans="7:8">
      <c r="G66" t="s">
        <v>170</v>
      </c>
      <c r="H66">
        <f>_xlfn.XLOOKUP(G66,Table1[Fund],Table1[AMFI],,0)</f>
        <v>106823</v>
      </c>
    </row>
    <row r="67" spans="7:8">
      <c r="G67" t="s">
        <v>384</v>
      </c>
      <c r="H67">
        <f>_xlfn.XLOOKUP(G67,Table1[Fund],Table1[AMFI],,0)</f>
        <v>103819</v>
      </c>
    </row>
    <row r="68" spans="7:8">
      <c r="G68" t="s">
        <v>57</v>
      </c>
      <c r="H68">
        <f>_xlfn.XLOOKUP(G68,Table1[Fund],Table1[AMFI],,0)</f>
        <v>103390</v>
      </c>
    </row>
    <row r="69" spans="7:8">
      <c r="G69" t="s">
        <v>146</v>
      </c>
      <c r="H69">
        <f>_xlfn.XLOOKUP(G69,Table1[Fund],Table1[AMFI],,0)</f>
        <v>103340</v>
      </c>
    </row>
    <row r="70" spans="7:8">
      <c r="G70" t="s">
        <v>251</v>
      </c>
      <c r="H70">
        <f>_xlfn.XLOOKUP(G70,Table1[Fund],Table1[AMFI],,0)</f>
        <v>103024</v>
      </c>
    </row>
    <row r="71" spans="7:8">
      <c r="G71" t="s">
        <v>59</v>
      </c>
      <c r="H71">
        <f>_xlfn.XLOOKUP(G71,Table1[Fund],Table1[AMFI],,0)</f>
        <v>102920</v>
      </c>
    </row>
    <row r="72" spans="7:8">
      <c r="G72" t="s">
        <v>200</v>
      </c>
      <c r="H72">
        <f>_xlfn.XLOOKUP(G72,Table1[Fund],Table1[AMFI],,0)</f>
        <v>102875</v>
      </c>
    </row>
    <row r="73" spans="7:8">
      <c r="G73" t="s">
        <v>150</v>
      </c>
      <c r="H73">
        <f>_xlfn.XLOOKUP(G73,Table1[Fund],Table1[AMFI],,0)</f>
        <v>102528</v>
      </c>
    </row>
    <row r="74" spans="7:8">
      <c r="G74" t="s">
        <v>257</v>
      </c>
      <c r="H74">
        <f>_xlfn.XLOOKUP(G74,Table1[Fund],Table1[AMFI],,0)</f>
        <v>102328</v>
      </c>
    </row>
    <row r="75" spans="7:8">
      <c r="G75" t="s">
        <v>174</v>
      </c>
      <c r="H75">
        <f>_xlfn.XLOOKUP(G75,Table1[Fund],Table1[AMFI],,0)</f>
        <v>102135</v>
      </c>
    </row>
    <row r="76" spans="7:8">
      <c r="G76" t="s">
        <v>130</v>
      </c>
      <c r="H76">
        <f>_xlfn.XLOOKUP(G76,Table1[Fund],Table1[AMFI],,0)</f>
        <v>101802</v>
      </c>
    </row>
    <row r="77" spans="7:8">
      <c r="G77" t="s">
        <v>154</v>
      </c>
      <c r="H77">
        <f>_xlfn.XLOOKUP(G77,Table1[Fund],Table1[AMFI],,0)</f>
        <v>101144</v>
      </c>
    </row>
    <row r="78" spans="7:8">
      <c r="G78" t="s">
        <v>241</v>
      </c>
      <c r="H78">
        <f>_xlfn.XLOOKUP(G78,Table1[Fund],Table1[AMFI],,0)</f>
        <v>101072</v>
      </c>
    </row>
    <row r="79" spans="7:8">
      <c r="G79" t="s">
        <v>239</v>
      </c>
      <c r="H79">
        <f>_xlfn.XLOOKUP(G79,Table1[Fund],Table1[AMFI],,0)</f>
        <v>101065</v>
      </c>
    </row>
    <row r="80" spans="7:8">
      <c r="G80" t="s">
        <v>279</v>
      </c>
      <c r="H80">
        <f>_xlfn.XLOOKUP(G80,Table1[Fund],Table1[AMFI],,0)</f>
        <v>100668</v>
      </c>
    </row>
    <row r="81" spans="7:8">
      <c r="G81" t="s">
        <v>172</v>
      </c>
      <c r="H81">
        <f>_xlfn.XLOOKUP(G81,Table1[Fund],Table1[AMFI],,0)</f>
        <v>100363</v>
      </c>
    </row>
    <row r="82" spans="7:8">
      <c r="G82" t="s">
        <v>126</v>
      </c>
      <c r="H82">
        <f>_xlfn.XLOOKUP(G82,Table1[Fund],Table1[AMFI],,0)</f>
        <v>100356</v>
      </c>
    </row>
    <row r="83" spans="7:8">
      <c r="G83" t="s">
        <v>144</v>
      </c>
      <c r="H83">
        <f>_xlfn.XLOOKUP(G83,Table1[Fund],Table1[AMFI],,0)</f>
        <v>100349</v>
      </c>
    </row>
    <row r="84" spans="7:8">
      <c r="G84" t="s">
        <v>182</v>
      </c>
      <c r="H84">
        <f>_xlfn.XLOOKUP(G84,Table1[Fund],Table1[AMFI],,0)</f>
        <v>100234</v>
      </c>
    </row>
    <row r="85" spans="7:8">
      <c r="G85" t="s">
        <v>180</v>
      </c>
      <c r="H85">
        <f>_xlfn.XLOOKUP(G85,Table1[Fund],Table1[AMFI],,0)</f>
        <v>100221</v>
      </c>
    </row>
    <row r="86" spans="7:8">
      <c r="G86" t="s">
        <v>243</v>
      </c>
      <c r="H86">
        <f>_xlfn.XLOOKUP(G86,Table1[Fund],Table1[AMFI],,0)</f>
        <v>100177</v>
      </c>
    </row>
  </sheetData>
  <pageMargins left="0.7" right="0.7" top="0.75" bottom="0.75" header="0.3" footer="0.3"/>
  <ignoredErrors>
    <ignoredError sqref="H2:H11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charan kamal</cp:lastModifiedBy>
  <dcterms:created xsi:type="dcterms:W3CDTF">2025-10-11T10:56:04Z</dcterms:created>
  <dcterms:modified xsi:type="dcterms:W3CDTF">2026-01-16T11:02:13Z</dcterms:modified>
</cp:coreProperties>
</file>