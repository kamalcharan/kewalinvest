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<sst xmlns="http://schemas.openxmlformats.org/spreadsheetml/2006/main" count="25" uniqueCount="25">
  <si>
    <t>My Excel Method</t>
  </si>
  <si>
    <t>Market Returns</t>
  </si>
  <si>
    <t>Closing Dates</t>
  </si>
  <si>
    <t>Closing Value</t>
  </si>
  <si>
    <t>Additional Transaction</t>
  </si>
  <si>
    <t>Sept 25 Calculations</t>
  </si>
  <si>
    <t>November Calculation</t>
  </si>
  <si>
    <t>October Calculation</t>
  </si>
  <si>
    <t>Nikhil</t>
  </si>
  <si>
    <t>A</t>
  </si>
  <si>
    <t>Opening Value</t>
  </si>
  <si>
    <t>Aug closing</t>
  </si>
  <si>
    <t>B</t>
  </si>
  <si>
    <t>Additioanl Transaction</t>
  </si>
  <si>
    <r>
      <rPr>
        <b/>
        <sz val="10"/>
        <rFont val="Roboto"/>
      </rPr>
      <t>Sep</t>
    </r>
    <r>
      <t xml:space="preserve"> Additional Investment</t>
    </r>
  </si>
  <si>
    <r>
      <rPr>
        <b/>
        <sz val="10"/>
        <rFont val="Roboto"/>
      </rPr>
      <t>Oct</t>
    </r>
    <r>
      <t xml:space="preserve"> Additional Investment</t>
    </r>
  </si>
  <si>
    <t>Total Opening Value</t>
  </si>
  <si>
    <t>Open Value for Sep calculation</t>
  </si>
  <si>
    <t>C</t>
  </si>
  <si>
    <t>Sep Closing Value</t>
  </si>
  <si>
    <t>Calculation Step</t>
  </si>
  <si>
    <t>Sep Closing/Aug Closing-1</t>
  </si>
  <si>
    <t xml:space="preserve"> =C/(A+B)-1</t>
  </si>
  <si>
    <t>Actual Returns</t>
  </si>
  <si>
    <t>Acutal Returns</t>
  </si>
</sst>
</file>

<file path=xl/styles.xml><?xml version="1.0" encoding="utf-8"?>
<styleSheet xmlns="http://schemas.openxmlformats.org/spreadsheetml/2006/main">
  <numFmts count="3">
    <numFmt formatCode="mmm-d" numFmtId="164"/>
    <numFmt formatCode="#0" numFmtId="165"/>
    <numFmt formatCode="#0.00%" numFmtId="166"/>
  </numFmts>
  <fonts count="6">
    <font>
      <sz val="10"/>
      <color rgb="FF000000"/>
      <name val="Roboto"/>
    </font>
    <font>
      <b/>
      <sz val="10"/>
      <name val="Roboto"/>
    </font>
    <font>
      <sz val="11.0"/>
      <name val="Aptos Narrow"/>
    </font>
    <font>
      <sz val="10"/>
      <name val="Roboto"/>
    </font>
    <font>
      <sz val="11.0"/>
      <color rgb="FFE31414"/>
      <name val="Aptos Narrow"/>
    </font>
    <font>
      <i/>
      <sz val="11.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1C40F"/>
        <bgColor rgb="FFF1C40F"/>
      </patternFill>
    </fill>
    <fill>
      <patternFill patternType="solid">
        <fgColor rgb="FFAAECC6"/>
        <bgColor rgb="FFAAECC6"/>
      </patternFill>
    </fill>
    <fill>
      <patternFill patternType="solid">
        <fgColor rgb="FFFFFF00"/>
        <bgColor rgb="FFFFFF00"/>
      </patternFill>
    </fill>
    <fill>
      <patternFill patternType="solid">
        <fgColor rgb="FFF590AC"/>
        <bgColor rgb="FFF590AC"/>
      </patternFill>
    </fill>
    <fill>
      <patternFill patternType="solid">
        <fgColor rgb="FFF2F2F2"/>
        <bgColor rgb="FFF2F2F2"/>
      </patternFill>
    </fill>
    <fill>
      <patternFill patternType="solid">
        <fgColor rgb="FFF9E79F"/>
        <bgColor rgb="FFF9E79F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20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vertical="top"/>
    </xf>
    <xf borderId="0" fillId="0" fontId="3" numFmtId="0" xfId="0">
      <alignment vertical="top"/>
    </xf>
    <xf borderId="0" fillId="2" fontId="2" numFmtId="0" xfId="0">
      <alignment vertical="top"/>
    </xf>
    <xf borderId="0" fillId="2" fontId="2" numFmtId="9" xfId="0">
      <alignment vertical="top"/>
    </xf>
    <xf borderId="0" fillId="0" fontId="2" numFmtId="9" xfId="0">
      <alignment vertical="top"/>
    </xf>
    <xf borderId="0" fillId="3" fontId="2" numFmtId="0" xfId="0">
      <alignment vertical="top"/>
    </xf>
    <xf borderId="0" fillId="3" fontId="2" numFmtId="164" xfId="0">
      <alignment vertical="top"/>
    </xf>
    <xf borderId="0" fillId="0" fontId="2" numFmtId="165" xfId="0">
      <alignment vertical="top"/>
    </xf>
    <xf borderId="0" fillId="0" fontId="4" numFmtId="0" xfId="0">
      <alignment vertical="top"/>
    </xf>
    <xf borderId="0" fillId="4" fontId="3" numFmtId="0" xfId="0">
      <alignment vertical="top"/>
    </xf>
    <xf borderId="0" fillId="0" fontId="2" numFmtId="166" xfId="0">
      <alignment vertical="top"/>
    </xf>
    <xf borderId="0" fillId="5" fontId="2" numFmtId="0" xfId="0">
      <alignment horizontal="center" vertical="top"/>
    </xf>
    <xf borderId="0" fillId="6" fontId="5" numFmtId="0" xfId="0">
      <alignment horizontal="center" vertical="top"/>
    </xf>
    <xf borderId="0" fillId="0" fontId="3" numFmtId="0" xfId="0">
      <alignment horizontal="right" vertical="top"/>
    </xf>
    <xf borderId="0" fillId="6" fontId="5" numFmtId="0" xfId="0">
      <alignment vertical="top"/>
    </xf>
    <xf borderId="0" fillId="7" fontId="2" numFmtId="0" xfId="0">
      <alignment vertical="top"/>
    </xf>
    <xf borderId="0" fillId="5" fontId="2" numFmtId="0" xfId="0">
      <alignment vertical="top"/>
    </xf>
    <xf borderId="0" fillId="5" fontId="2" numFmtId="9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21"/>
  <sheetViews>
    <sheetView workbookViewId="0" showGridLines="0"/>
  </sheetViews>
  <sheetFormatPr defaultRowHeight="14.0" customHeight="1"/>
  <cols>
    <col min="1" max="2" width="13.24"/>
    <col min="3" max="3" width="21.99"/>
    <col min="4" max="4" width="13.24"/>
    <col min="5" max="5" width="30.73"/>
    <col min="6" max="9" width="13.24"/>
    <col min="10" max="12" width="13.24"/>
  </cols>
  <sheetData>
    <row r="1">
      <c r="A1" s="1" t="s">
        <v>0</v>
      </c>
      <c r="B1" s="1"/>
    </row>
    <row r="3">
      <c r="C3" s="2"/>
      <c r="D3" s="2"/>
      <c r="E3" s="2"/>
      <c r="F3" s="2"/>
      <c r="G3" s="2"/>
      <c r="H3" s="2"/>
      <c r="I3" s="2"/>
    </row>
    <row r="4" ht="17.0">
      <c r="B4" s="3"/>
      <c r="F4" s="3"/>
      <c r="G4" s="4" t="s">
        <v>1</v>
      </c>
      <c r="H4" s="5">
        <v>0.0125</v>
      </c>
      <c r="I4" s="6">
        <f>H4</f>
        <v>0.0125</v>
      </c>
      <c r="J4" s="6">
        <v>0.0125</v>
      </c>
      <c r="K4" s="2"/>
      <c r="L4" s="7" t="s">
        <v>2</v>
      </c>
    </row>
    <row r="5" ht="17.0">
      <c r="B5" s="3"/>
      <c r="D5" s="3"/>
      <c r="F5" s="2"/>
      <c r="G5" s="8">
        <v>46259</v>
      </c>
      <c r="H5" s="8">
        <v>46290</v>
      </c>
      <c r="I5" s="8">
        <v>46320</v>
      </c>
      <c r="J5" s="8">
        <v>46351</v>
      </c>
      <c r="K5" s="8">
        <v>46381</v>
      </c>
      <c r="L5" s="8">
        <v>46048</v>
      </c>
    </row>
    <row r="6" ht="17.0">
      <c r="B6" s="3"/>
      <c r="C6" s="3"/>
      <c r="E6" s="3"/>
      <c r="F6" s="2" t="s">
        <v>3</v>
      </c>
      <c r="G6" s="2">
        <v>2500000.0</v>
      </c>
      <c r="H6" s="2">
        <f>G6*(1+H4)</f>
        <v>2531250.0</v>
      </c>
      <c r="I6" s="9">
        <f>(H6+H7+I7)*(1+I4)</f>
        <v>5094140.625</v>
      </c>
      <c r="J6" s="2">
        <f>I6*(1+J4)</f>
        <v>5157817.3828125</v>
      </c>
      <c r="K6" s="2"/>
      <c r="L6" s="2"/>
    </row>
    <row r="7" ht="17.0">
      <c r="B7" s="3"/>
      <c r="D7" s="3"/>
      <c r="F7" s="2" t="s">
        <v>4</v>
      </c>
      <c r="G7" s="3"/>
      <c r="H7" s="10">
        <v>2500000.0</v>
      </c>
      <c r="I7" s="2"/>
      <c r="J7" s="2">
        <f>-H7</f>
        <v>-2500000.0</v>
      </c>
      <c r="K7" s="2"/>
      <c r="L7" s="2"/>
    </row>
    <row r="8">
      <c r="B8" s="3"/>
      <c r="C8" s="2"/>
      <c r="D8" s="2"/>
      <c r="E8" s="6"/>
      <c r="F8" s="2"/>
      <c r="G8" s="2"/>
      <c r="H8" s="3">
        <f>H6+H7</f>
        <v>5031250.0</v>
      </c>
      <c r="I8" s="2"/>
      <c r="J8" s="11">
        <f>J6+J7</f>
        <v>2657817.3828125</v>
      </c>
    </row>
    <row r="9" ht="17.0">
      <c r="A9" s="3"/>
      <c r="F9" s="2"/>
      <c r="G9" s="2"/>
      <c r="H9" s="12">
        <f>H8/G6-1</f>
        <v>1.0125</v>
      </c>
      <c r="I9" s="2"/>
      <c r="J9" s="6">
        <f>J8/I6-1</f>
        <v>-0.478259911049765</v>
      </c>
    </row>
    <row r="10" ht="17.0">
      <c r="B10" s="3"/>
      <c r="C10" s="13" t="s">
        <v>5</v>
      </c>
      <c r="D10" s="13"/>
      <c r="E10" s="13"/>
      <c r="F10" s="2"/>
      <c r="G10" s="13" t="s">
        <v>6</v>
      </c>
      <c r="H10" s="13" t="s">
        <v>7</v>
      </c>
      <c r="I10" s="13"/>
    </row>
    <row r="11" ht="17.0">
      <c r="B11" s="3"/>
      <c r="C11" s="2"/>
      <c r="D11" s="2"/>
      <c r="E11" s="14" t="s">
        <v>8</v>
      </c>
      <c r="F11" s="3"/>
      <c r="G11" s="2"/>
      <c r="H11" s="2"/>
      <c r="I11" s="14" t="s">
        <v>8</v>
      </c>
    </row>
    <row r="12" ht="17.0">
      <c r="B12" s="15" t="s">
        <v>9</v>
      </c>
      <c r="C12" s="2" t="s">
        <v>10</v>
      </c>
      <c r="D12" s="2">
        <f>G6</f>
        <v>2500000.0</v>
      </c>
      <c r="E12" s="16" t="s">
        <v>11</v>
      </c>
      <c r="F12" s="15" t="s">
        <v>9</v>
      </c>
      <c r="G12" s="2" t="s">
        <v>10</v>
      </c>
      <c r="H12" s="2">
        <f>I6</f>
        <v>5094140.625</v>
      </c>
      <c r="I12" s="16" t="s">
        <v>11</v>
      </c>
    </row>
    <row r="13" ht="17.0">
      <c r="B13" s="15" t="s">
        <v>12</v>
      </c>
      <c r="C13" s="2" t="s">
        <v>13</v>
      </c>
      <c r="D13" s="2">
        <f>H7</f>
        <v>2500000.0</v>
      </c>
      <c r="E13" s="16" t="s">
        <v>14</v>
      </c>
      <c r="F13" s="15" t="s">
        <v>12</v>
      </c>
      <c r="G13" s="2" t="s">
        <v>13</v>
      </c>
      <c r="H13" s="10">
        <f>J7</f>
        <v>-2500000.0</v>
      </c>
      <c r="I13" s="16" t="s">
        <v>15</v>
      </c>
    </row>
    <row r="14" ht="17.0">
      <c r="A14" s="3"/>
      <c r="B14" s="15"/>
      <c r="C14" s="2" t="s">
        <v>16</v>
      </c>
      <c r="D14" s="2">
        <f>D13+D12</f>
        <v>5000000.0</v>
      </c>
      <c r="E14" s="16" t="s">
        <v>17</v>
      </c>
      <c r="F14" s="15"/>
      <c r="G14" s="2" t="s">
        <v>16</v>
      </c>
      <c r="H14" s="17">
        <f>H12+H13</f>
        <v>2594140.625</v>
      </c>
      <c r="I14" s="16" t="s">
        <v>17</v>
      </c>
    </row>
    <row r="15">
      <c r="B15" s="15"/>
      <c r="C15" s="2"/>
      <c r="D15" s="2"/>
      <c r="E15" s="16"/>
      <c r="F15" s="15"/>
      <c r="G15" s="2"/>
      <c r="H15" s="17"/>
      <c r="I15" s="16"/>
    </row>
    <row r="16" ht="17.0">
      <c r="B16" s="15" t="s">
        <v>18</v>
      </c>
      <c r="C16" s="2" t="s">
        <v>3</v>
      </c>
      <c r="D16" s="2">
        <f>H8</f>
        <v>5031250.0</v>
      </c>
      <c r="E16" s="16" t="s">
        <v>19</v>
      </c>
      <c r="F16" s="15" t="s">
        <v>18</v>
      </c>
      <c r="G16" s="2" t="s">
        <v>3</v>
      </c>
      <c r="H16" s="17">
        <f>J8</f>
        <v>2657817.3828125</v>
      </c>
      <c r="I16" s="16" t="s">
        <v>19</v>
      </c>
    </row>
    <row r="17">
      <c r="B17" s="3"/>
      <c r="C17" s="3" t="s">
        <v>20</v>
      </c>
      <c r="D17" s="3" t="s">
        <v>21</v>
      </c>
      <c r="E17" s="3"/>
      <c r="F17" s="3"/>
      <c r="G17" s="3" t="s">
        <v>20</v>
      </c>
      <c r="H17" s="3" t="s">
        <v>21</v>
      </c>
      <c r="I17" s="3"/>
    </row>
    <row r="18">
      <c r="B18" s="3"/>
      <c r="C18" s="3"/>
      <c r="D18" s="3" t="s">
        <v>22</v>
      </c>
      <c r="E18" s="3"/>
      <c r="F18" s="3"/>
      <c r="G18" s="3"/>
      <c r="H18" s="3" t="s">
        <v>22</v>
      </c>
      <c r="I18" s="3"/>
    </row>
    <row r="19">
      <c r="B19" s="3"/>
      <c r="C19" s="3"/>
      <c r="D19" s="3"/>
      <c r="E19" s="3"/>
      <c r="F19" s="3"/>
      <c r="G19" s="3"/>
      <c r="H19" s="3"/>
      <c r="I19" s="3"/>
    </row>
    <row r="20">
      <c r="B20" s="3"/>
      <c r="C20" s="3"/>
      <c r="D20" s="3"/>
      <c r="E20" s="3"/>
      <c r="F20" s="2"/>
      <c r="G20" s="2"/>
      <c r="H20" s="2"/>
      <c r="I20" s="2"/>
    </row>
    <row r="21" ht="17.0">
      <c r="B21" s="3"/>
      <c r="C21" s="18" t="s">
        <v>23</v>
      </c>
      <c r="D21" s="19">
        <f>D16/(D12+D13)-1</f>
        <v>0.00625</v>
      </c>
      <c r="E21" s="16" t="s">
        <v>24</v>
      </c>
      <c r="F21" s="2"/>
      <c r="G21" s="18" t="s">
        <v>23</v>
      </c>
      <c r="H21" s="19">
        <f>H16/(H12+H13)-1</f>
        <v>0.02454637855744</v>
      </c>
      <c r="I21" s="16" t="s">
        <v>24</v>
      </c>
    </row>
    <row r="22">
      <c r="B22" s="3"/>
      <c r="F22" s="2"/>
      <c r="G22" s="2"/>
      <c r="H22" s="2"/>
      <c r="I22" s="2"/>
    </row>
    <row r="23">
      <c r="B23" s="3"/>
      <c r="F23" s="2"/>
      <c r="G23" s="2"/>
      <c r="H23" s="2"/>
      <c r="I23" s="2"/>
    </row>
    <row r="24">
      <c r="B24" s="3"/>
      <c r="F24" s="2"/>
      <c r="G24" s="2"/>
      <c r="H24" s="2"/>
      <c r="I24" s="2"/>
    </row>
    <row r="25">
      <c r="C25" s="3"/>
      <c r="D25" s="3"/>
      <c r="E25" s="3"/>
    </row>
  </sheetData>
  <mergeCells count="3">
    <mergeCell ref="A1:B1"/>
    <mergeCell ref="C10:E10"/>
    <mergeCell ref="G10:I10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2026-01-13T06:10:11Z</dcterms:created>
</cp:coreProperties>
</file>